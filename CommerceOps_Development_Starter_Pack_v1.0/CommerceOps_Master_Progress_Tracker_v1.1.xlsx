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8678f8473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ff4be6854c4bfa"/>
    <x:sheet xmlns:r="http://schemas.openxmlformats.org/officeDocument/2006/relationships" name="Master Tracker" sheetId="2" r:id="Rad714d407595494e"/>
    <x:sheet xmlns:r="http://schemas.openxmlformats.org/officeDocument/2006/relationships" name="Decision Register" sheetId="3" r:id="R1002fa1303ea4ebf"/>
    <x:sheet xmlns:r="http://schemas.openxmlformats.org/officeDocument/2006/relationships" name="Reference" sheetId="4" r:id="R50c439e604c1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4fc94e1594cee" /><Relationship Type="http://schemas.openxmlformats.org/officeDocument/2006/relationships/theme" Target="/xl/theme/theme1.xml" Id="R9d8bca376b5a4312" /><Relationship Type="http://schemas.openxmlformats.org/officeDocument/2006/relationships/sharedStrings" Target="/xl/sharedStrings.xml" Id="R998d152bb6524919" /><Relationship Type="http://schemas.openxmlformats.org/officeDocument/2006/relationships/worksheet" Target="/xl/worksheets/sheet1.xml" Id="R52ff4be6854c4bfa" /><Relationship Type="http://schemas.openxmlformats.org/officeDocument/2006/relationships/worksheet" Target="/xl/worksheets/sheet2.xml" Id="Rad714d407595494e" /><Relationship Type="http://schemas.openxmlformats.org/officeDocument/2006/relationships/worksheet" Target="/xl/worksheets/sheet3.xml" Id="R1002fa1303ea4ebf" /><Relationship Type="http://schemas.openxmlformats.org/officeDocument/2006/relationships/worksheet" Target="/xl/worksheets/sheet4.xml" Id="R50c439e604c14e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df04bcd87240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Specification Progress by Type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'Dashboard'!$B$13:$B$17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Approved Specs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'Dashboard'!$C$13:$C$17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df04bcd87240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TrackerTable" displayName="MasterTrackerTable" ref="A1:S93" headerRowCount="1" totalsRowCount="0" totalsRowShown="0">
  <x:tableColumns count="19">
    <x:tableColumn id="1" name="ID"/>
    <x:tableColumn id="2" name="Type"/>
    <x:tableColumn id="3" name="Parent ID"/>
    <x:tableColumn id="4" name="Name"/>
    <x:tableColumn id="5" name="Priority"/>
    <x:tableColumn id="6" name="Spec Required"/>
    <x:tableColumn id="7" name="Spec Status"/>
    <x:tableColumn id="8" name="Spec Version"/>
    <x:tableColumn id="9" name="Implementation Status"/>
    <x:tableColumn id="10" name="Agent Plan Status"/>
    <x:tableColumn id="11" name="Test Status"/>
    <x:tableColumn id="12" name="Review Status"/>
    <x:tableColumn id="13" name="DoD Status"/>
    <x:tableColumn id="14" name="Dependencies"/>
    <x:tableColumn id="15" name="ADR"/>
    <x:tableColumn id="16" name="Owner"/>
    <x:tableColumn id="17" name="GitHub Issue"/>
    <x:tableColumn id="18" name="PR"/>
    <x:tableColumn id="19" name="Notes / Block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RegisterTable" displayName="DecisionRegisterTable" ref="A1:G10" headerRowCount="1" totalsRowCount="0" totalsRowShown="0">
  <x:tableColumns count="7">
    <x:tableColumn id="1" name="ADR"/>
    <x:tableColumn id="2" name="Decision"/>
    <x:tableColumn id="3" name="Status"/>
    <x:tableColumn id="4" name="Area"/>
    <x:tableColumn id="5" name="Owner"/>
    <x:tableColumn id="6" name="Affected Items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Table" displayName="ReferenceTable" ref="A1:C17" headerRowCount="1" totalsRowCount="0" totalsRowShown="0">
  <x:tableColumns count="3">
    <x:tableColumn id="1" name="Category"/>
    <x:tableColumn id="2" name="Value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75995a56b2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b027c48d5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063aaf49ed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cabb3748324a2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52" hidden="0" customWidth="1"/>
  </x:cols>
  <x:sheetData>
    <x:row r="1">
      <x:c r="A1" s="40" t="str">
        <x:v>CommerceOps — Master Progress Dashboard</x:v>
      </x:c>
      <x:c r="B1" s="40"/>
      <x:c r="C1" s="40"/>
      <x:c r="D1" s="40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22" t="str">
        <x:v>Baseline</x:v>
      </x:c>
      <x:c r="B3" s="22" t="str">
        <x:v>Master v1.0 + Inventory Slice v1.0 — 17 Aug 2026</x:v>
      </x:c>
    </x:row>
    <x:row r="5">
      <x:c r="A5" s="27" t="str">
        <x:v>Total tracked items</x:v>
      </x:c>
      <x:c r="B5" s="27" t="str">
        <x:v>Total tracked items</x:v>
      </x:c>
      <x:c r="C5" s="27" t="str">
        <x:v>Foundation specs approved</x:v>
      </x:c>
      <x:c r="D5" s="27" t="str">
        <x:v>Foundation specs approved</x:v>
      </x:c>
      <x:c r="E5" s="27" t="str">
        <x:v>Epics</x:v>
      </x:c>
      <x:c r="F5" s="27" t="str">
        <x:v>Epics</x:v>
      </x:c>
    </x:row>
    <x:row r="6">
      <x:c r="A6" s="35" t="n">
        <x:f>COUNTA('Master Tracker'!A:A)-1</x:f>
        <x:v>92</x:v>
      </x:c>
      <x:c r="B6" s="35"/>
      <x:c r="C6" s="35" t="n">
        <x:f>COUNTIFS('Master Tracker'!B:B,"Foundation",'Master Tracker'!G:G,"Approved")</x:f>
        <x:v>24</x:v>
      </x:c>
      <x:c r="D6" s="35"/>
      <x:c r="E6" s="35" t="n">
        <x:f>COUNTIF('Master Tracker'!B:B,"Epic")</x:f>
        <x:v>8</x:v>
      </x:c>
      <x:c r="F6" s="35"/>
    </x:row>
    <x:row r="8">
      <x:c r="A8" s="27" t="str">
        <x:v>Features</x:v>
      </x:c>
      <x:c r="B8" s="27" t="str">
        <x:v>Features</x:v>
      </x:c>
      <x:c r="C8" s="27" t="str">
        <x:v>User Stories</x:v>
      </x:c>
      <x:c r="D8" s="27" t="str">
        <x:v>User Stories</x:v>
      </x:c>
      <x:c r="E8" s="27" t="str">
        <x:v>Implementation done</x:v>
      </x:c>
      <x:c r="F8" s="27" t="str">
        <x:v>Implementation done</x:v>
      </x:c>
    </x:row>
    <x:row r="9">
      <x:c r="A9" s="35" t="n">
        <x:f>COUNTIF('Master Tracker'!B:B,"Feature")</x:f>
        <x:v>43</x:v>
      </x:c>
      <x:c r="B9" s="35"/>
      <x:c r="C9" s="35" t="n">
        <x:f>COUNTIF('Master Tracker'!B:B,"Story")</x:f>
        <x:v>9</x:v>
      </x:c>
      <x:c r="D9" s="35"/>
      <x:c r="E9" s="35" t="n">
        <x:f>COUNTIF('Master Tracker'!I:I,"Done")</x:f>
        <x:v>0</x:v>
      </x:c>
      <x:c r="F9" s="35"/>
    </x:row>
    <x:row r="12">
      <x:c r="A12" s="6" t="str">
        <x:v>Type</x:v>
      </x:c>
      <x:c r="B12" s="6" t="str">
        <x:v>Total</x:v>
      </x:c>
      <x:c r="C12" s="6" t="str">
        <x:v>Approved Specs</x:v>
      </x:c>
      <x:c r="D12" s="6" t="str">
        <x:v>Implementation Done</x:v>
      </x:c>
    </x:row>
    <x:row r="13">
      <x:c r="A13" t="str">
        <x:v>Foundation</x:v>
      </x:c>
      <x:c r="B13" t="n">
        <x:f>COUNTIF('Master Tracker'!B:B,A13)</x:f>
        <x:v>24</x:v>
      </x:c>
      <x:c r="C13" t="n">
        <x:f>COUNTIFS('Master Tracker'!B:B,A13,'Master Tracker'!G:G,"Approved")</x:f>
        <x:v>24</x:v>
      </x:c>
      <x:c r="D13" t="n">
        <x:f>COUNTIFS('Master Tracker'!B:B,A13,'Master Tracker'!I:I,"Done")</x:f>
        <x:v>0</x:v>
      </x:c>
    </x:row>
    <x:row r="14">
      <x:c r="A14" t="str">
        <x:v>Epic</x:v>
      </x:c>
      <x:c r="B14" t="n">
        <x:f>COUNTIF('Master Tracker'!B:B,A14)</x:f>
        <x:v>8</x:v>
      </x:c>
      <x:c r="C14" t="n">
        <x:f>COUNTIFS('Master Tracker'!B:B,A14,'Master Tracker'!G:G,"Approved")</x:f>
        <x:v>1</x:v>
      </x:c>
      <x:c r="D14" t="n">
        <x:f>COUNTIFS('Master Tracker'!B:B,A14,'Master Tracker'!I:I,"Done")</x:f>
        <x:v>0</x:v>
      </x:c>
    </x:row>
    <x:row r="15">
      <x:c r="A15" t="str">
        <x:v>Feature</x:v>
      </x:c>
      <x:c r="B15" t="n">
        <x:f>COUNTIF('Master Tracker'!B:B,A15)</x:f>
        <x:v>43</x:v>
      </x:c>
      <x:c r="C15" t="n">
        <x:f>COUNTIFS('Master Tracker'!B:B,A15,'Master Tracker'!G:G,"Approved")</x:f>
        <x:v>1</x:v>
      </x:c>
      <x:c r="D15" t="n">
        <x:f>COUNTIFS('Master Tracker'!B:B,A15,'Master Tracker'!I:I,"Done")</x:f>
        <x:v>0</x:v>
      </x:c>
    </x:row>
    <x:row r="16">
      <x:c r="A16" t="str">
        <x:v>Story</x:v>
      </x:c>
      <x:c r="B16" t="n">
        <x:f>COUNTIF('Master Tracker'!B:B,A16)</x:f>
        <x:v>9</x:v>
      </x:c>
      <x:c r="C16" t="n">
        <x:f>COUNTIFS('Master Tracker'!B:B,A16,'Master Tracker'!G:G,"Approved")</x:f>
        <x:v>9</x:v>
      </x:c>
      <x:c r="D16" t="n">
        <x:f>COUNTIFS('Master Tracker'!B:B,A16,'Master Tracker'!I:I,"Done")</x:f>
        <x:v>0</x:v>
      </x:c>
    </x:row>
    <x:row r="17">
      <x:c r="A17" t="str">
        <x:v>Task</x:v>
      </x:c>
      <x:c r="B17" t="n">
        <x:f>COUNTIF('Master Tracker'!B:B,A17)</x:f>
        <x:v>8</x:v>
      </x:c>
      <x:c r="C17" t="n">
        <x:f>COUNTIFS('Master Tracker'!B:B,A17,'Master Tracker'!G:G,"Approved")</x:f>
        <x:v>8</x:v>
      </x:c>
      <x:c r="D17" t="n">
        <x:f>COUNTIFS('Master Tracker'!B:B,A17,'Master Tracker'!I:I,"Done")</x:f>
        <x:v>0</x:v>
      </x:c>
    </x:row>
    <x:row r="19">
      <x:c r="A19" s="6" t="str">
        <x:v>Current Next Step</x:v>
      </x:c>
      <x:c r="B19" s="6" t="str">
        <x:v>ID</x:v>
      </x:c>
      <x:c r="C19" s="6" t="str">
        <x:v>Spec Weight</x:v>
      </x:c>
      <x:c r="D19" s="6" t="str">
        <x:v>Reason</x:v>
      </x:c>
    </x:row>
    <x:row r="20">
      <x:c r="A20" t="str">
        <x:v>Execute engineering bootstrap</x:v>
      </x:c>
      <x:c r="B20" t="str">
        <x:v>BOOT-001..008</x:v>
      </x:c>
      <x:c r="C20" t="str">
        <x:v>Lean</x:v>
      </x:c>
      <x:c r="D20" t="str">
        <x:v>Establish the minimal runnable platform and CI baseline</x:v>
      </x:c>
    </x:row>
    <x:row r="21">
      <x:c r="A21" t="str">
        <x:v>Start first business story</x:v>
      </x:c>
      <x:c r="B21" t="str">
        <x:v>INV-US001</x:v>
      </x:c>
      <x:c r="C21" t="str">
        <x:v>Story-only</x:v>
      </x:c>
      <x:c r="D21" t="str">
        <x:v>Create query-driven protected inventory context</x:v>
      </x:c>
    </x:row>
    <x:row r="22">
      <x:c r="A22" t="str">
        <x:v>Implement controlled adjustment</x:v>
      </x:c>
      <x:c r="B22" t="str">
        <x:v>INV-US002..009</x:v>
      </x:c>
      <x:c r="C22" t="str">
        <x:v>Story-only</x:v>
      </x:c>
      <x:c r="D22" t="str">
        <x:v>Complete INV-F03 through small reviewable batches</x:v>
      </x:c>
    </x:row>
  </x:sheetData>
  <x:mergeCells>
    <x:mergeCell ref="A1:H2"/>
    <x:mergeCell ref="A5:B5"/>
    <x:mergeCell ref="A6:B6"/>
    <x:mergeCell ref="C5:D5"/>
    <x:mergeCell ref="C6:D6"/>
    <x:mergeCell ref="E5:F5"/>
    <x:mergeCell ref="E6:F6"/>
    <x:mergeCell ref="A8:B8"/>
    <x:mergeCell ref="A9:B9"/>
    <x:mergeCell ref="C8:D8"/>
    <x:mergeCell ref="C9:D9"/>
    <x:mergeCell ref="E8:F8"/>
    <x:mergeCell ref="E9:F9"/>
  </x:mergeCells>
  <x:pageMargins left="0.7" right="0.7" top="0.75" bottom="0.75" header="0.3" footer="0.3"/>
  <x:drawing xmlns:r="http://schemas.openxmlformats.org/officeDocument/2006/relationships" r:id="R2975995a56b24659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6" hidden="0" customWidth="1"/>
    <x:col min="5" max="5" width="12" hidden="0" customWidth="1"/>
    <x:col min="6" max="6" width="14" hidden="0" customWidth="1"/>
    <x:col min="7" max="7" width="14" hidden="0" customWidth="1"/>
    <x:col min="8" max="8" width="13" hidden="0" customWidth="1"/>
    <x:col min="9" max="9" width="18" hidden="0" customWidth="1"/>
    <x:col min="10" max="10" width="17" hidden="0" customWidth="1"/>
    <x:col min="11" max="11" width="15" hidden="0" customWidth="1"/>
    <x:col min="12" max="12" width="17" hidden="0" customWidth="1"/>
    <x:col min="13" max="13" width="13" hidden="0" customWidth="1"/>
    <x:col min="14" max="14" width="22" hidden="0" customWidth="1"/>
    <x:col min="15" max="15" width="16" hidden="0" customWidth="1"/>
    <x:col min="16" max="16" width="24" hidden="0" customWidth="1"/>
    <x:col min="17" max="17" width="15" hidden="0" customWidth="1"/>
    <x:col min="18" max="18" width="15" hidden="0" customWidth="1"/>
    <x:col min="19" max="19" width="42" hidden="0" customWidth="1"/>
  </x:cols>
  <x:sheetData>
    <x:row r="1">
      <x:c r="A1" s="6" t="str">
        <x:v>ID</x:v>
      </x:c>
      <x:c r="B1" s="6" t="str">
        <x:v>Type</x:v>
      </x:c>
      <x:c r="C1" s="6" t="str">
        <x:v>Parent ID</x:v>
      </x:c>
      <x:c r="D1" s="6" t="str">
        <x:v>Name</x:v>
      </x:c>
      <x:c r="E1" s="6" t="str">
        <x:v>Priority</x:v>
      </x:c>
      <x:c r="F1" s="6" t="str">
        <x:v>Spec Required</x:v>
      </x:c>
      <x:c r="G1" s="6" t="str">
        <x:v>Spec Status</x:v>
      </x:c>
      <x:c r="H1" s="6" t="str">
        <x:v>Spec Version</x:v>
      </x:c>
      <x:c r="I1" s="6" t="str">
        <x:v>Implementation Status</x:v>
      </x:c>
      <x:c r="J1" s="6" t="str">
        <x:v>Agent Plan Status</x:v>
      </x:c>
      <x:c r="K1" s="6" t="str">
        <x:v>Test Status</x:v>
      </x:c>
      <x:c r="L1" s="6" t="str">
        <x:v>Review Status</x:v>
      </x:c>
      <x:c r="M1" s="6" t="str">
        <x:v>DoD Status</x:v>
      </x:c>
      <x:c r="N1" s="6" t="str">
        <x:v>Dependencies</x:v>
      </x:c>
      <x:c r="O1" s="6" t="str">
        <x:v>ADR</x:v>
      </x:c>
      <x:c r="P1" s="6" t="str">
        <x:v>Owner</x:v>
      </x:c>
      <x:c r="Q1" s="6" t="str">
        <x:v>GitHub Issue</x:v>
      </x:c>
      <x:c r="R1" s="6" t="str">
        <x:v>PR</x:v>
      </x:c>
      <x:c r="S1" s="6" t="str">
        <x:v>Notes / Blockers</x:v>
      </x:c>
    </x:row>
    <x:row r="2">
      <x:c r="A2" s="12" t="str">
        <x:v>FND-001</x:v>
      </x:c>
      <x:c r="B2" s="12" t="str">
        <x:v>Foundation</x:v>
      </x:c>
      <x:c r="C2" s="12" t="str"/>
      <x:c r="D2" s="12" t="str">
        <x:v>Product Vision &amp; Objectives</x:v>
      </x:c>
      <x:c r="E2" s="12" t="str">
        <x:v>Must</x:v>
      </x:c>
      <x:c r="F2" s="12" t="str">
        <x:v>Full</x:v>
      </x:c>
      <x:c r="G2" s="12" t="str">
        <x:v>Approved</x:v>
      </x:c>
      <x:c r="H2" s="12" t="str">
        <x:v>v1.0</x:v>
      </x:c>
      <x:c r="I2" s="12" t="str">
        <x:v>Not Started</x:v>
      </x:c>
      <x:c r="J2" s="12" t="str">
        <x:v>N/A</x:v>
      </x:c>
      <x:c r="K2" s="12" t="str">
        <x:v>Not Started</x:v>
      </x:c>
      <x:c r="L2" s="12" t="str">
        <x:v>Approved</x:v>
      </x:c>
      <x:c r="M2" s="12" t="str">
        <x:v>Not Met</x:v>
      </x:c>
      <x:c r="N2" s="12" t="str"/>
      <x:c r="O2" s="12" t="str"/>
      <x:c r="P2" s="12" t="str">
        <x:v>Engineer + Agent-assisted</x:v>
      </x:c>
      <x:c r="Q2" s="12" t="str"/>
      <x:c r="R2" s="12" t="str"/>
      <x:c r="S2" s="12" t="str">
        <x:v>Foundation baseline approved in Master Spec v1.0</x:v>
      </x:c>
    </x:row>
    <x:row r="3">
      <x:c r="A3" s="12" t="str">
        <x:v>FND-002</x:v>
      </x:c>
      <x:c r="B3" s="12" t="str">
        <x:v>Foundation</x:v>
      </x:c>
      <x:c r="C3" s="12" t="str"/>
      <x:c r="D3" s="12" t="str">
        <x:v>Scope &amp; Product Boundaries</x:v>
      </x:c>
      <x:c r="E3" s="12" t="str">
        <x:v>Must</x:v>
      </x:c>
      <x:c r="F3" s="12" t="str">
        <x:v>Full</x:v>
      </x:c>
      <x:c r="G3" s="12" t="str">
        <x:v>Approved</x:v>
      </x:c>
      <x:c r="H3" s="12" t="str">
        <x:v>v1.0</x:v>
      </x:c>
      <x:c r="I3" s="12" t="str">
        <x:v>Not Started</x:v>
      </x:c>
      <x:c r="J3" s="12" t="str">
        <x:v>N/A</x:v>
      </x:c>
      <x:c r="K3" s="12" t="str">
        <x:v>Not Started</x:v>
      </x:c>
      <x:c r="L3" s="12" t="str">
        <x:v>Approved</x:v>
      </x:c>
      <x:c r="M3" s="12" t="str">
        <x:v>Not Met</x:v>
      </x:c>
      <x:c r="N3" s="12" t="str"/>
      <x:c r="O3" s="12" t="str"/>
      <x:c r="P3" s="12" t="str">
        <x:v>Engineer + Agent-assisted</x:v>
      </x:c>
      <x:c r="Q3" s="12" t="str"/>
      <x:c r="R3" s="12" t="str"/>
      <x:c r="S3" s="12" t="str">
        <x:v>Foundation baseline approved in Master Spec v1.0</x:v>
      </x:c>
    </x:row>
    <x:row r="4">
      <x:c r="A4" s="12" t="str">
        <x:v>FND-003</x:v>
      </x:c>
      <x:c r="B4" s="12" t="str">
        <x:v>Foundation</x:v>
      </x:c>
      <x:c r="C4" s="12" t="str"/>
      <x:c r="D4" s="12" t="str">
        <x:v>Technology Stack</x:v>
      </x:c>
      <x:c r="E4" s="12" t="str">
        <x:v>Must</x:v>
      </x:c>
      <x:c r="F4" s="12" t="str">
        <x:v>Full</x:v>
      </x:c>
      <x:c r="G4" s="12" t="str">
        <x:v>Approved</x:v>
      </x:c>
      <x:c r="H4" s="12" t="str">
        <x:v>v1.0</x:v>
      </x:c>
      <x:c r="I4" s="12" t="str">
        <x:v>Not Started</x:v>
      </x:c>
      <x:c r="J4" s="12" t="str">
        <x:v>N/A</x:v>
      </x:c>
      <x:c r="K4" s="12" t="str">
        <x:v>Not Started</x:v>
      </x:c>
      <x:c r="L4" s="12" t="str">
        <x:v>Approved</x:v>
      </x:c>
      <x:c r="M4" s="12" t="str">
        <x:v>Not Met</x:v>
      </x:c>
      <x:c r="N4" s="12" t="str"/>
      <x:c r="O4" s="12" t="str"/>
      <x:c r="P4" s="12" t="str">
        <x:v>Engineer + Agent-assisted</x:v>
      </x:c>
      <x:c r="Q4" s="12" t="str"/>
      <x:c r="R4" s="12" t="str"/>
      <x:c r="S4" s="12" t="str">
        <x:v>Foundation baseline approved in Master Spec v1.0</x:v>
      </x:c>
    </x:row>
    <x:row r="5">
      <x:c r="A5" s="12" t="str">
        <x:v>FND-004</x:v>
      </x:c>
      <x:c r="B5" s="12" t="str">
        <x:v>Foundation</x:v>
      </x:c>
      <x:c r="C5" s="12" t="str"/>
      <x:c r="D5" s="12" t="str">
        <x:v>System Architecture</x:v>
      </x:c>
      <x:c r="E5" s="12" t="str">
        <x:v>Must</x:v>
      </x:c>
      <x:c r="F5" s="12" t="str">
        <x:v>Full</x:v>
      </x:c>
      <x:c r="G5" s="12" t="str">
        <x:v>Approved</x:v>
      </x:c>
      <x:c r="H5" s="12" t="str">
        <x:v>v1.0</x:v>
      </x:c>
      <x:c r="I5" s="12" t="str">
        <x:v>Not Started</x:v>
      </x:c>
      <x:c r="J5" s="12" t="str">
        <x:v>N/A</x:v>
      </x:c>
      <x:c r="K5" s="12" t="str">
        <x:v>Not Started</x:v>
      </x:c>
      <x:c r="L5" s="12" t="str">
        <x:v>Approved</x:v>
      </x:c>
      <x:c r="M5" s="12" t="str">
        <x:v>Not Met</x:v>
      </x:c>
      <x:c r="N5" s="12" t="str"/>
      <x:c r="O5" s="12" t="str"/>
      <x:c r="P5" s="12" t="str">
        <x:v>Engineer + Agent-assisted</x:v>
      </x:c>
      <x:c r="Q5" s="12" t="str"/>
      <x:c r="R5" s="12" t="str"/>
      <x:c r="S5" s="12" t="str">
        <x:v>Foundation baseline approved in Master Spec v1.0</x:v>
      </x:c>
    </x:row>
    <x:row r="6">
      <x:c r="A6" s="12" t="str">
        <x:v>FND-005</x:v>
      </x:c>
      <x:c r="B6" s="12" t="str">
        <x:v>Foundation</x:v>
      </x:c>
      <x:c r="C6" s="12" t="str"/>
      <x:c r="D6" s="12" t="str">
        <x:v>Frontend Architecture</x:v>
      </x:c>
      <x:c r="E6" s="12" t="str">
        <x:v>Must</x:v>
      </x:c>
      <x:c r="F6" s="12" t="str">
        <x:v>Full</x:v>
      </x:c>
      <x:c r="G6" s="12" t="str">
        <x:v>Approved</x:v>
      </x:c>
      <x:c r="H6" s="12" t="str">
        <x:v>v1.0</x:v>
      </x:c>
      <x:c r="I6" s="12" t="str">
        <x:v>Not Started</x:v>
      </x:c>
      <x:c r="J6" s="12" t="str">
        <x:v>N/A</x:v>
      </x:c>
      <x:c r="K6" s="12" t="str">
        <x:v>Not Started</x:v>
      </x:c>
      <x:c r="L6" s="12" t="str">
        <x:v>Approved</x:v>
      </x:c>
      <x:c r="M6" s="12" t="str">
        <x:v>Not Met</x:v>
      </x:c>
      <x:c r="N6" s="12" t="str"/>
      <x:c r="O6" s="12" t="str"/>
      <x:c r="P6" s="12" t="str">
        <x:v>Engineer + Agent-assisted</x:v>
      </x:c>
      <x:c r="Q6" s="12" t="str"/>
      <x:c r="R6" s="12" t="str"/>
      <x:c r="S6" s="12" t="str">
        <x:v>Foundation baseline approved in Master Spec v1.0</x:v>
      </x:c>
    </x:row>
    <x:row r="7">
      <x:c r="A7" s="12" t="str">
        <x:v>FND-006</x:v>
      </x:c>
      <x:c r="B7" s="12" t="str">
        <x:v>Foundation</x:v>
      </x:c>
      <x:c r="C7" s="12" t="str"/>
      <x:c r="D7" s="12" t="str">
        <x:v>Backend Architecture</x:v>
      </x:c>
      <x:c r="E7" s="12" t="str">
        <x:v>Must</x:v>
      </x:c>
      <x:c r="F7" s="12" t="str">
        <x:v>Full</x:v>
      </x:c>
      <x:c r="G7" s="12" t="str">
        <x:v>Approved</x:v>
      </x:c>
      <x:c r="H7" s="12" t="str">
        <x:v>v1.0</x:v>
      </x:c>
      <x:c r="I7" s="12" t="str">
        <x:v>Not Started</x:v>
      </x:c>
      <x:c r="J7" s="12" t="str">
        <x:v>N/A</x:v>
      </x:c>
      <x:c r="K7" s="12" t="str">
        <x:v>Not Started</x:v>
      </x:c>
      <x:c r="L7" s="12" t="str">
        <x:v>Approved</x:v>
      </x:c>
      <x:c r="M7" s="12" t="str">
        <x:v>Not Met</x:v>
      </x:c>
      <x:c r="N7" s="12" t="str"/>
      <x:c r="O7" s="12" t="str"/>
      <x:c r="P7" s="12" t="str">
        <x:v>Engineer + Agent-assisted</x:v>
      </x:c>
      <x:c r="Q7" s="12" t="str"/>
      <x:c r="R7" s="12" t="str"/>
      <x:c r="S7" s="12" t="str">
        <x:v>Foundation baseline approved in Master Spec v1.0</x:v>
      </x:c>
    </x:row>
    <x:row r="8">
      <x:c r="A8" s="12" t="str">
        <x:v>FND-007</x:v>
      </x:c>
      <x:c r="B8" s="12" t="str">
        <x:v>Foundation</x:v>
      </x:c>
      <x:c r="C8" s="12" t="str"/>
      <x:c r="D8" s="12" t="str">
        <x:v>Data Architecture</x:v>
      </x:c>
      <x:c r="E8" s="12" t="str">
        <x:v>Must</x:v>
      </x:c>
      <x:c r="F8" s="12" t="str">
        <x:v>Full</x:v>
      </x:c>
      <x:c r="G8" s="12" t="str">
        <x:v>Approved</x:v>
      </x:c>
      <x:c r="H8" s="12" t="str">
        <x:v>v1.0</x:v>
      </x:c>
      <x:c r="I8" s="12" t="str">
        <x:v>Not Started</x:v>
      </x:c>
      <x:c r="J8" s="12" t="str">
        <x:v>N/A</x:v>
      </x:c>
      <x:c r="K8" s="12" t="str">
        <x:v>Not Started</x:v>
      </x:c>
      <x:c r="L8" s="12" t="str">
        <x:v>Approved</x:v>
      </x:c>
      <x:c r="M8" s="12" t="str">
        <x:v>Not Met</x:v>
      </x:c>
      <x:c r="N8" s="12" t="str"/>
      <x:c r="O8" s="12" t="str"/>
      <x:c r="P8" s="12" t="str">
        <x:v>Engineer + Agent-assisted</x:v>
      </x:c>
      <x:c r="Q8" s="12" t="str"/>
      <x:c r="R8" s="12" t="str"/>
      <x:c r="S8" s="12" t="str">
        <x:v>Foundation baseline approved in Master Spec v1.0</x:v>
      </x:c>
    </x:row>
    <x:row r="9">
      <x:c r="A9" s="12" t="str">
        <x:v>FND-008</x:v>
      </x:c>
      <x:c r="B9" s="12" t="str">
        <x:v>Foundation</x:v>
      </x:c>
      <x:c r="C9" s="12" t="str"/>
      <x:c r="D9" s="12" t="str">
        <x:v>API Standards</x:v>
      </x:c>
      <x:c r="E9" s="12" t="str">
        <x:v>Must</x:v>
      </x:c>
      <x:c r="F9" s="12" t="str">
        <x:v>Full</x:v>
      </x:c>
      <x:c r="G9" s="12" t="str">
        <x:v>Approved</x:v>
      </x:c>
      <x:c r="H9" s="12" t="str">
        <x:v>v1.0</x:v>
      </x:c>
      <x:c r="I9" s="12" t="str">
        <x:v>Not Started</x:v>
      </x:c>
      <x:c r="J9" s="12" t="str">
        <x:v>N/A</x:v>
      </x:c>
      <x:c r="K9" s="12" t="str">
        <x:v>Not Started</x:v>
      </x:c>
      <x:c r="L9" s="12" t="str">
        <x:v>Approved</x:v>
      </x:c>
      <x:c r="M9" s="12" t="str">
        <x:v>Not Met</x:v>
      </x:c>
      <x:c r="N9" s="12" t="str"/>
      <x:c r="O9" s="12" t="str"/>
      <x:c r="P9" s="12" t="str">
        <x:v>Engineer + Agent-assisted</x:v>
      </x:c>
      <x:c r="Q9" s="12" t="str"/>
      <x:c r="R9" s="12" t="str"/>
      <x:c r="S9" s="12" t="str">
        <x:v>Foundation baseline approved in Master Spec v1.0</x:v>
      </x:c>
    </x:row>
    <x:row r="10">
      <x:c r="A10" s="12" t="str">
        <x:v>FND-009</x:v>
      </x:c>
      <x:c r="B10" s="12" t="str">
        <x:v>Foundation</x:v>
      </x:c>
      <x:c r="C10" s="12" t="str"/>
      <x:c r="D10" s="12" t="str">
        <x:v>State Management Standards</x:v>
      </x:c>
      <x:c r="E10" s="12" t="str">
        <x:v>Must</x:v>
      </x:c>
      <x:c r="F10" s="12" t="str">
        <x:v>Full</x:v>
      </x:c>
      <x:c r="G10" s="12" t="str">
        <x:v>Approved</x:v>
      </x:c>
      <x:c r="H10" s="12" t="str">
        <x:v>v1.0</x:v>
      </x:c>
      <x:c r="I10" s="12" t="str">
        <x:v>Not Started</x:v>
      </x:c>
      <x:c r="J10" s="12" t="str">
        <x:v>N/A</x:v>
      </x:c>
      <x:c r="K10" s="12" t="str">
        <x:v>Not Started</x:v>
      </x:c>
      <x:c r="L10" s="12" t="str">
        <x:v>Approved</x:v>
      </x:c>
      <x:c r="M10" s="12" t="str">
        <x:v>Not Met</x:v>
      </x:c>
      <x:c r="N10" s="12" t="str"/>
      <x:c r="O10" s="12" t="str"/>
      <x:c r="P10" s="12" t="str">
        <x:v>Engineer + Agent-assisted</x:v>
      </x:c>
      <x:c r="Q10" s="12" t="str"/>
      <x:c r="R10" s="12" t="str"/>
      <x:c r="S10" s="12" t="str">
        <x:v>Foundation baseline approved in Master Spec v1.0</x:v>
      </x:c>
    </x:row>
    <x:row r="11">
      <x:c r="A11" s="12" t="str">
        <x:v>FND-010</x:v>
      </x:c>
      <x:c r="B11" s="12" t="str">
        <x:v>Foundation</x:v>
      </x:c>
      <x:c r="C11" s="12" t="str"/>
      <x:c r="D11" s="12" t="str">
        <x:v>UI &amp; Design-System Standards</x:v>
      </x:c>
      <x:c r="E11" s="12" t="str">
        <x:v>Must</x:v>
      </x:c>
      <x:c r="F11" s="12" t="str">
        <x:v>Full</x:v>
      </x:c>
      <x:c r="G11" s="12" t="str">
        <x:v>Approved</x:v>
      </x:c>
      <x:c r="H11" s="12" t="str">
        <x:v>v1.0</x:v>
      </x:c>
      <x:c r="I11" s="12" t="str">
        <x:v>Not Started</x:v>
      </x:c>
      <x:c r="J11" s="12" t="str">
        <x:v>N/A</x:v>
      </x:c>
      <x:c r="K11" s="12" t="str">
        <x:v>Not Started</x:v>
      </x:c>
      <x:c r="L11" s="12" t="str">
        <x:v>Approved</x:v>
      </x:c>
      <x:c r="M11" s="12" t="str">
        <x:v>Not Met</x:v>
      </x:c>
      <x:c r="N11" s="12" t="str"/>
      <x:c r="O11" s="12" t="str"/>
      <x:c r="P11" s="12" t="str">
        <x:v>Engineer + Agent-assisted</x:v>
      </x:c>
      <x:c r="Q11" s="12" t="str"/>
      <x:c r="R11" s="12" t="str"/>
      <x:c r="S11" s="12" t="str">
        <x:v>Foundation baseline approved in Master Spec v1.0</x:v>
      </x:c>
    </x:row>
    <x:row r="12">
      <x:c r="A12" s="12" t="str">
        <x:v>FND-011</x:v>
      </x:c>
      <x:c r="B12" s="12" t="str">
        <x:v>Foundation</x:v>
      </x:c>
      <x:c r="C12" s="12" t="str"/>
      <x:c r="D12" s="12" t="str">
        <x:v>Accessibility Standards</x:v>
      </x:c>
      <x:c r="E12" s="12" t="str">
        <x:v>Must</x:v>
      </x:c>
      <x:c r="F12" s="12" t="str">
        <x:v>Full</x:v>
      </x:c>
      <x:c r="G12" s="12" t="str">
        <x:v>Approved</x:v>
      </x:c>
      <x:c r="H12" s="12" t="str">
        <x:v>v1.0</x:v>
      </x:c>
      <x:c r="I12" s="12" t="str">
        <x:v>Not Started</x:v>
      </x:c>
      <x:c r="J12" s="12" t="str">
        <x:v>N/A</x:v>
      </x:c>
      <x:c r="K12" s="12" t="str">
        <x:v>Not Started</x:v>
      </x:c>
      <x:c r="L12" s="12" t="str">
        <x:v>Approved</x:v>
      </x:c>
      <x:c r="M12" s="12" t="str">
        <x:v>Not Met</x:v>
      </x:c>
      <x:c r="N12" s="12" t="str"/>
      <x:c r="O12" s="12" t="str"/>
      <x:c r="P12" s="12" t="str">
        <x:v>Engineer + Agent-assisted</x:v>
      </x:c>
      <x:c r="Q12" s="12" t="str"/>
      <x:c r="R12" s="12" t="str"/>
      <x:c r="S12" s="12" t="str">
        <x:v>Foundation baseline approved in Master Spec v1.0</x:v>
      </x:c>
    </x:row>
    <x:row r="13">
      <x:c r="A13" s="12" t="str">
        <x:v>FND-012</x:v>
      </x:c>
      <x:c r="B13" s="12" t="str">
        <x:v>Foundation</x:v>
      </x:c>
      <x:c r="C13" s="12" t="str"/>
      <x:c r="D13" s="12" t="str">
        <x:v>Security &amp; RBAC Standards</x:v>
      </x:c>
      <x:c r="E13" s="12" t="str">
        <x:v>Must</x:v>
      </x:c>
      <x:c r="F13" s="12" t="str">
        <x:v>Full</x:v>
      </x:c>
      <x:c r="G13" s="12" t="str">
        <x:v>Approved</x:v>
      </x:c>
      <x:c r="H13" s="12" t="str">
        <x:v>v1.0</x:v>
      </x:c>
      <x:c r="I13" s="12" t="str">
        <x:v>Not Started</x:v>
      </x:c>
      <x:c r="J13" s="12" t="str">
        <x:v>N/A</x:v>
      </x:c>
      <x:c r="K13" s="12" t="str">
        <x:v>Not Started</x:v>
      </x:c>
      <x:c r="L13" s="12" t="str">
        <x:v>Approved</x:v>
      </x:c>
      <x:c r="M13" s="12" t="str">
        <x:v>Not Met</x:v>
      </x:c>
      <x:c r="N13" s="12" t="str"/>
      <x:c r="O13" s="12" t="str"/>
      <x:c r="P13" s="12" t="str">
        <x:v>Engineer + Agent-assisted</x:v>
      </x:c>
      <x:c r="Q13" s="12" t="str"/>
      <x:c r="R13" s="12" t="str"/>
      <x:c r="S13" s="12" t="str">
        <x:v>Foundation baseline approved in Master Spec v1.0</x:v>
      </x:c>
    </x:row>
    <x:row r="14">
      <x:c r="A14" s="12" t="str">
        <x:v>FND-013</x:v>
      </x:c>
      <x:c r="B14" s="12" t="str">
        <x:v>Foundation</x:v>
      </x:c>
      <x:c r="C14" s="12" t="str"/>
      <x:c r="D14" s="12" t="str">
        <x:v>Error Handling &amp; Resilience</x:v>
      </x:c>
      <x:c r="E14" s="12" t="str">
        <x:v>Must</x:v>
      </x:c>
      <x:c r="F14" s="12" t="str">
        <x:v>Full</x:v>
      </x:c>
      <x:c r="G14" s="12" t="str">
        <x:v>Approved</x:v>
      </x:c>
      <x:c r="H14" s="12" t="str">
        <x:v>v1.0</x:v>
      </x:c>
      <x:c r="I14" s="12" t="str">
        <x:v>Not Started</x:v>
      </x:c>
      <x:c r="J14" s="12" t="str">
        <x:v>N/A</x:v>
      </x:c>
      <x:c r="K14" s="12" t="str">
        <x:v>Not Started</x:v>
      </x:c>
      <x:c r="L14" s="12" t="str">
        <x:v>Approved</x:v>
      </x:c>
      <x:c r="M14" s="12" t="str">
        <x:v>Not Met</x:v>
      </x:c>
      <x:c r="N14" s="12" t="str"/>
      <x:c r="O14" s="12" t="str"/>
      <x:c r="P14" s="12" t="str">
        <x:v>Engineer + Agent-assisted</x:v>
      </x:c>
      <x:c r="Q14" s="12" t="str"/>
      <x:c r="R14" s="12" t="str"/>
      <x:c r="S14" s="12" t="str">
        <x:v>Foundation baseline approved in Master Spec v1.0</x:v>
      </x:c>
    </x:row>
    <x:row r="15">
      <x:c r="A15" s="12" t="str">
        <x:v>FND-014</x:v>
      </x:c>
      <x:c r="B15" s="12" t="str">
        <x:v>Foundation</x:v>
      </x:c>
      <x:c r="C15" s="12" t="str"/>
      <x:c r="D15" s="12" t="str">
        <x:v>Performance Standards</x:v>
      </x:c>
      <x:c r="E15" s="12" t="str">
        <x:v>Must</x:v>
      </x:c>
      <x:c r="F15" s="12" t="str">
        <x:v>Full</x:v>
      </x:c>
      <x:c r="G15" s="12" t="str">
        <x:v>Approved</x:v>
      </x:c>
      <x:c r="H15" s="12" t="str">
        <x:v>v1.0</x:v>
      </x:c>
      <x:c r="I15" s="12" t="str">
        <x:v>Not Started</x:v>
      </x:c>
      <x:c r="J15" s="12" t="str">
        <x:v>N/A</x:v>
      </x:c>
      <x:c r="K15" s="12" t="str">
        <x:v>Not Started</x:v>
      </x:c>
      <x:c r="L15" s="12" t="str">
        <x:v>Approved</x:v>
      </x:c>
      <x:c r="M15" s="12" t="str">
        <x:v>Not Met</x:v>
      </x:c>
      <x:c r="N15" s="12" t="str"/>
      <x:c r="O15" s="12" t="str"/>
      <x:c r="P15" s="12" t="str">
        <x:v>Engineer + Agent-assisted</x:v>
      </x:c>
      <x:c r="Q15" s="12" t="str"/>
      <x:c r="R15" s="12" t="str"/>
      <x:c r="S15" s="12" t="str">
        <x:v>Foundation baseline approved in Master Spec v1.0</x:v>
      </x:c>
    </x:row>
    <x:row r="16">
      <x:c r="A16" s="12" t="str">
        <x:v>FND-015</x:v>
      </x:c>
      <x:c r="B16" s="12" t="str">
        <x:v>Foundation</x:v>
      </x:c>
      <x:c r="C16" s="12" t="str"/>
      <x:c r="D16" s="12" t="str">
        <x:v>Observability Standards</x:v>
      </x:c>
      <x:c r="E16" s="12" t="str">
        <x:v>Must</x:v>
      </x:c>
      <x:c r="F16" s="12" t="str">
        <x:v>Full</x:v>
      </x:c>
      <x:c r="G16" s="12" t="str">
        <x:v>Approved</x:v>
      </x:c>
      <x:c r="H16" s="12" t="str">
        <x:v>v1.0</x:v>
      </x:c>
      <x:c r="I16" s="12" t="str">
        <x:v>Not Started</x:v>
      </x:c>
      <x:c r="J16" s="12" t="str">
        <x:v>N/A</x:v>
      </x:c>
      <x:c r="K16" s="12" t="str">
        <x:v>Not Started</x:v>
      </x:c>
      <x:c r="L16" s="12" t="str">
        <x:v>Approved</x:v>
      </x:c>
      <x:c r="M16" s="12" t="str">
        <x:v>Not Met</x:v>
      </x:c>
      <x:c r="N16" s="12" t="str"/>
      <x:c r="O16" s="12" t="str"/>
      <x:c r="P16" s="12" t="str">
        <x:v>Engineer + Agent-assisted</x:v>
      </x:c>
      <x:c r="Q16" s="12" t="str"/>
      <x:c r="R16" s="12" t="str"/>
      <x:c r="S16" s="12" t="str">
        <x:v>Foundation baseline approved in Master Spec v1.0</x:v>
      </x:c>
    </x:row>
    <x:row r="17">
      <x:c r="A17" s="12" t="str">
        <x:v>FND-016</x:v>
      </x:c>
      <x:c r="B17" s="12" t="str">
        <x:v>Foundation</x:v>
      </x:c>
      <x:c r="C17" s="12" t="str"/>
      <x:c r="D17" s="12" t="str">
        <x:v>Testing Strategy</x:v>
      </x:c>
      <x:c r="E17" s="12" t="str">
        <x:v>Must</x:v>
      </x:c>
      <x:c r="F17" s="12" t="str">
        <x:v>Full</x:v>
      </x:c>
      <x:c r="G17" s="12" t="str">
        <x:v>Approved</x:v>
      </x:c>
      <x:c r="H17" s="12" t="str">
        <x:v>v1.0</x:v>
      </x:c>
      <x:c r="I17" s="12" t="str">
        <x:v>Not Started</x:v>
      </x:c>
      <x:c r="J17" s="12" t="str">
        <x:v>N/A</x:v>
      </x:c>
      <x:c r="K17" s="12" t="str">
        <x:v>Not Started</x:v>
      </x:c>
      <x:c r="L17" s="12" t="str">
        <x:v>Approved</x:v>
      </x:c>
      <x:c r="M17" s="12" t="str">
        <x:v>Not Met</x:v>
      </x:c>
      <x:c r="N17" s="12" t="str"/>
      <x:c r="O17" s="12" t="str"/>
      <x:c r="P17" s="12" t="str">
        <x:v>Engineer + Agent-assisted</x:v>
      </x:c>
      <x:c r="Q17" s="12" t="str"/>
      <x:c r="R17" s="12" t="str"/>
      <x:c r="S17" s="12" t="str">
        <x:v>Foundation baseline approved in Master Spec v1.0</x:v>
      </x:c>
    </x:row>
    <x:row r="18">
      <x:c r="A18" s="12" t="str">
        <x:v>FND-017</x:v>
      </x:c>
      <x:c r="B18" s="12" t="str">
        <x:v>Foundation</x:v>
      </x:c>
      <x:c r="C18" s="12" t="str"/>
      <x:c r="D18" s="12" t="str">
        <x:v>Coding Standards</x:v>
      </x:c>
      <x:c r="E18" s="12" t="str">
        <x:v>Must</x:v>
      </x:c>
      <x:c r="F18" s="12" t="str">
        <x:v>Full</x:v>
      </x:c>
      <x:c r="G18" s="12" t="str">
        <x:v>Approved</x:v>
      </x:c>
      <x:c r="H18" s="12" t="str">
        <x:v>v1.0</x:v>
      </x:c>
      <x:c r="I18" s="12" t="str">
        <x:v>Not Started</x:v>
      </x:c>
      <x:c r="J18" s="12" t="str">
        <x:v>N/A</x:v>
      </x:c>
      <x:c r="K18" s="12" t="str">
        <x:v>Not Started</x:v>
      </x:c>
      <x:c r="L18" s="12" t="str">
        <x:v>Approved</x:v>
      </x:c>
      <x:c r="M18" s="12" t="str">
        <x:v>Not Met</x:v>
      </x:c>
      <x:c r="N18" s="12" t="str"/>
      <x:c r="O18" s="12" t="str"/>
      <x:c r="P18" s="12" t="str">
        <x:v>Engineer + Agent-assisted</x:v>
      </x:c>
      <x:c r="Q18" s="12" t="str"/>
      <x:c r="R18" s="12" t="str"/>
      <x:c r="S18" s="12" t="str">
        <x:v>Foundation baseline approved in Master Spec v1.0</x:v>
      </x:c>
    </x:row>
    <x:row r="19">
      <x:c r="A19" s="12" t="str">
        <x:v>FND-018</x:v>
      </x:c>
      <x:c r="B19" s="12" t="str">
        <x:v>Foundation</x:v>
      </x:c>
      <x:c r="C19" s="12" t="str"/>
      <x:c r="D19" s="12" t="str">
        <x:v>Documentation Standards</x:v>
      </x:c>
      <x:c r="E19" s="12" t="str">
        <x:v>Must</x:v>
      </x:c>
      <x:c r="F19" s="12" t="str">
        <x:v>Full</x:v>
      </x:c>
      <x:c r="G19" s="12" t="str">
        <x:v>Approved</x:v>
      </x:c>
      <x:c r="H19" s="12" t="str">
        <x:v>v1.0</x:v>
      </x:c>
      <x:c r="I19" s="12" t="str">
        <x:v>Not Started</x:v>
      </x:c>
      <x:c r="J19" s="12" t="str">
        <x:v>N/A</x:v>
      </x:c>
      <x:c r="K19" s="12" t="str">
        <x:v>Not Started</x:v>
      </x:c>
      <x:c r="L19" s="12" t="str">
        <x:v>Approved</x:v>
      </x:c>
      <x:c r="M19" s="12" t="str">
        <x:v>Not Met</x:v>
      </x:c>
      <x:c r="N19" s="12" t="str"/>
      <x:c r="O19" s="12" t="str"/>
      <x:c r="P19" s="12" t="str">
        <x:v>Engineer + Agent-assisted</x:v>
      </x:c>
      <x:c r="Q19" s="12" t="str"/>
      <x:c r="R19" s="12" t="str"/>
      <x:c r="S19" s="12" t="str">
        <x:v>Foundation baseline approved in Master Spec v1.0</x:v>
      </x:c>
    </x:row>
    <x:row r="20">
      <x:c r="A20" s="12" t="str">
        <x:v>FND-019</x:v>
      </x:c>
      <x:c r="B20" s="12" t="str">
        <x:v>Foundation</x:v>
      </x:c>
      <x:c r="C20" s="12" t="str"/>
      <x:c r="D20" s="12" t="str">
        <x:v>Repository &amp; Monorepo Standards</x:v>
      </x:c>
      <x:c r="E20" s="12" t="str">
        <x:v>Must</x:v>
      </x:c>
      <x:c r="F20" s="12" t="str">
        <x:v>Full</x:v>
      </x:c>
      <x:c r="G20" s="12" t="str">
        <x:v>Approved</x:v>
      </x:c>
      <x:c r="H20" s="12" t="str">
        <x:v>v1.0</x:v>
      </x:c>
      <x:c r="I20" s="12" t="str">
        <x:v>Not Started</x:v>
      </x:c>
      <x:c r="J20" s="12" t="str">
        <x:v>N/A</x:v>
      </x:c>
      <x:c r="K20" s="12" t="str">
        <x:v>Not Started</x:v>
      </x:c>
      <x:c r="L20" s="12" t="str">
        <x:v>Approved</x:v>
      </x:c>
      <x:c r="M20" s="12" t="str">
        <x:v>Not Met</x:v>
      </x:c>
      <x:c r="N20" s="12" t="str"/>
      <x:c r="O20" s="12" t="str"/>
      <x:c r="P20" s="12" t="str">
        <x:v>Engineer + Agent-assisted</x:v>
      </x:c>
      <x:c r="Q20" s="12" t="str"/>
      <x:c r="R20" s="12" t="str"/>
      <x:c r="S20" s="12" t="str">
        <x:v>Foundation baseline approved in Master Spec v1.0</x:v>
      </x:c>
    </x:row>
    <x:row r="21">
      <x:c r="A21" s="12" t="str">
        <x:v>FND-020</x:v>
      </x:c>
      <x:c r="B21" s="12" t="str">
        <x:v>Foundation</x:v>
      </x:c>
      <x:c r="C21" s="12" t="str"/>
      <x:c r="D21" s="12" t="str">
        <x:v>CI/CD &amp; Quality Gates</x:v>
      </x:c>
      <x:c r="E21" s="12" t="str">
        <x:v>Must</x:v>
      </x:c>
      <x:c r="F21" s="12" t="str">
        <x:v>Full</x:v>
      </x:c>
      <x:c r="G21" s="12" t="str">
        <x:v>Approved</x:v>
      </x:c>
      <x:c r="H21" s="12" t="str">
        <x:v>v1.0</x:v>
      </x:c>
      <x:c r="I21" s="12" t="str">
        <x:v>Not Started</x:v>
      </x:c>
      <x:c r="J21" s="12" t="str">
        <x:v>N/A</x:v>
      </x:c>
      <x:c r="K21" s="12" t="str">
        <x:v>Not Started</x:v>
      </x:c>
      <x:c r="L21" s="12" t="str">
        <x:v>Approved</x:v>
      </x:c>
      <x:c r="M21" s="12" t="str">
        <x:v>Not Met</x:v>
      </x:c>
      <x:c r="N21" s="12" t="str"/>
      <x:c r="O21" s="12" t="str"/>
      <x:c r="P21" s="12" t="str">
        <x:v>Engineer + Agent-assisted</x:v>
      </x:c>
      <x:c r="Q21" s="12" t="str"/>
      <x:c r="R21" s="12" t="str"/>
      <x:c r="S21" s="12" t="str">
        <x:v>Foundation baseline approved in Master Spec v1.0</x:v>
      </x:c>
    </x:row>
    <x:row r="22">
      <x:c r="A22" s="12" t="str">
        <x:v>FND-021</x:v>
      </x:c>
      <x:c r="B22" s="12" t="str">
        <x:v>Foundation</x:v>
      </x:c>
      <x:c r="C22" s="12" t="str"/>
      <x:c r="D22" s="12" t="str">
        <x:v>AI Coding-Agent Standards</x:v>
      </x:c>
      <x:c r="E22" s="12" t="str">
        <x:v>Must</x:v>
      </x:c>
      <x:c r="F22" s="12" t="str">
        <x:v>Full</x:v>
      </x:c>
      <x:c r="G22" s="12" t="str">
        <x:v>Approved</x:v>
      </x:c>
      <x:c r="H22" s="12" t="str">
        <x:v>v1.0</x:v>
      </x:c>
      <x:c r="I22" s="12" t="str">
        <x:v>Not Started</x:v>
      </x:c>
      <x:c r="J22" s="12" t="str">
        <x:v>N/A</x:v>
      </x:c>
      <x:c r="K22" s="12" t="str">
        <x:v>Not Started</x:v>
      </x:c>
      <x:c r="L22" s="12" t="str">
        <x:v>Approved</x:v>
      </x:c>
      <x:c r="M22" s="12" t="str">
        <x:v>Not Met</x:v>
      </x:c>
      <x:c r="N22" s="12" t="str"/>
      <x:c r="O22" s="12" t="str"/>
      <x:c r="P22" s="12" t="str">
        <x:v>Engineer + Agent-assisted</x:v>
      </x:c>
      <x:c r="Q22" s="12" t="str"/>
      <x:c r="R22" s="12" t="str"/>
      <x:c r="S22" s="12" t="str">
        <x:v>Foundation baseline approved in Master Spec v1.0</x:v>
      </x:c>
    </x:row>
    <x:row r="23">
      <x:c r="A23" s="12" t="str">
        <x:v>FND-022</x:v>
      </x:c>
      <x:c r="B23" s="12" t="str">
        <x:v>Foundation</x:v>
      </x:c>
      <x:c r="C23" s="12" t="str"/>
      <x:c r="D23" s="12" t="str">
        <x:v>Lean Spec-Driven Development Process</x:v>
      </x:c>
      <x:c r="E23" s="12" t="str">
        <x:v>Must</x:v>
      </x:c>
      <x:c r="F23" s="12" t="str">
        <x:v>Full</x:v>
      </x:c>
      <x:c r="G23" s="12" t="str">
        <x:v>Approved</x:v>
      </x:c>
      <x:c r="H23" s="12" t="str">
        <x:v>v1.0</x:v>
      </x:c>
      <x:c r="I23" s="12" t="str">
        <x:v>Not Started</x:v>
      </x:c>
      <x:c r="J23" s="12" t="str">
        <x:v>N/A</x:v>
      </x:c>
      <x:c r="K23" s="12" t="str">
        <x:v>Not Started</x:v>
      </x:c>
      <x:c r="L23" s="12" t="str">
        <x:v>Approved</x:v>
      </x:c>
      <x:c r="M23" s="12" t="str">
        <x:v>Not Met</x:v>
      </x:c>
      <x:c r="N23" s="12" t="str"/>
      <x:c r="O23" s="12" t="str"/>
      <x:c r="P23" s="12" t="str">
        <x:v>Engineer + Agent-assisted</x:v>
      </x:c>
      <x:c r="Q23" s="12" t="str"/>
      <x:c r="R23" s="12" t="str"/>
      <x:c r="S23" s="12" t="str">
        <x:v>Foundation baseline approved in Master Spec v1.0</x:v>
      </x:c>
    </x:row>
    <x:row r="24">
      <x:c r="A24" s="12" t="str">
        <x:v>FND-023</x:v>
      </x:c>
      <x:c r="B24" s="12" t="str">
        <x:v>Foundation</x:v>
      </x:c>
      <x:c r="C24" s="12" t="str"/>
      <x:c r="D24" s="12" t="str">
        <x:v>Definition of Done</x:v>
      </x:c>
      <x:c r="E24" s="12" t="str">
        <x:v>Must</x:v>
      </x:c>
      <x:c r="F24" s="12" t="str">
        <x:v>Full</x:v>
      </x:c>
      <x:c r="G24" s="12" t="str">
        <x:v>Approved</x:v>
      </x:c>
      <x:c r="H24" s="12" t="str">
        <x:v>v1.0</x:v>
      </x:c>
      <x:c r="I24" s="12" t="str">
        <x:v>Not Started</x:v>
      </x:c>
      <x:c r="J24" s="12" t="str">
        <x:v>N/A</x:v>
      </x:c>
      <x:c r="K24" s="12" t="str">
        <x:v>Not Started</x:v>
      </x:c>
      <x:c r="L24" s="12" t="str">
        <x:v>Approved</x:v>
      </x:c>
      <x:c r="M24" s="12" t="str">
        <x:v>Not Met</x:v>
      </x:c>
      <x:c r="N24" s="12" t="str"/>
      <x:c r="O24" s="12" t="str"/>
      <x:c r="P24" s="12" t="str">
        <x:v>Engineer + Agent-assisted</x:v>
      </x:c>
      <x:c r="Q24" s="12" t="str"/>
      <x:c r="R24" s="12" t="str"/>
      <x:c r="S24" s="12" t="str">
        <x:v>Foundation baseline approved in Master Spec v1.0</x:v>
      </x:c>
    </x:row>
    <x:row r="25">
      <x:c r="A25" s="12" t="str">
        <x:v>FND-024</x:v>
      </x:c>
      <x:c r="B25" s="12" t="str">
        <x:v>Foundation</x:v>
      </x:c>
      <x:c r="C25" s="12" t="str"/>
      <x:c r="D25" s="12" t="str">
        <x:v>Non-Functional Requirements</x:v>
      </x:c>
      <x:c r="E25" s="12" t="str">
        <x:v>Must</x:v>
      </x:c>
      <x:c r="F25" s="12" t="str">
        <x:v>Full</x:v>
      </x:c>
      <x:c r="G25" s="12" t="str">
        <x:v>Approved</x:v>
      </x:c>
      <x:c r="H25" s="12" t="str">
        <x:v>v1.0</x:v>
      </x:c>
      <x:c r="I25" s="12" t="str">
        <x:v>Not Started</x:v>
      </x:c>
      <x:c r="J25" s="12" t="str">
        <x:v>N/A</x:v>
      </x:c>
      <x:c r="K25" s="12" t="str">
        <x:v>Not Started</x:v>
      </x:c>
      <x:c r="L25" s="12" t="str">
        <x:v>Approved</x:v>
      </x:c>
      <x:c r="M25" s="12" t="str">
        <x:v>Not Met</x:v>
      </x:c>
      <x:c r="N25" s="12" t="str"/>
      <x:c r="O25" s="12" t="str"/>
      <x:c r="P25" s="12" t="str">
        <x:v>Engineer + Agent-assisted</x:v>
      </x:c>
      <x:c r="Q25" s="12" t="str"/>
      <x:c r="R25" s="12" t="str"/>
      <x:c r="S25" s="12" t="str">
        <x:v>Foundation baseline approved in Master Spec v1.0</x:v>
      </x:c>
    </x:row>
    <x:row r="26">
      <x:c r="A26" s="12" t="str">
        <x:v>EPIC-01</x:v>
      </x:c>
      <x:c r="B26" s="12" t="str">
        <x:v>Epic</x:v>
      </x:c>
      <x:c r="C26" s="12" t="str"/>
      <x:c r="D26" s="12" t="str">
        <x:v>Authentication &amp; User Access</x:v>
      </x:c>
      <x:c r="E26" s="12" t="str">
        <x:v>Must</x:v>
      </x:c>
      <x:c r="F26" s="12" t="str">
        <x:v>Full</x:v>
      </x:c>
      <x:c r="G26" s="12" t="str">
        <x:v>Backlog</x:v>
      </x:c>
      <x:c r="H26" s="12" t="str"/>
      <x:c r="I26" s="12" t="str">
        <x:v>Not Started</x:v>
      </x:c>
      <x:c r="J26" s="12" t="str">
        <x:v>N/A</x:v>
      </x:c>
      <x:c r="K26" s="12" t="str">
        <x:v>Not Started</x:v>
      </x:c>
      <x:c r="L26" s="12" t="str">
        <x:v>Pending</x:v>
      </x:c>
      <x:c r="M26" s="12" t="str">
        <x:v>Not Met</x:v>
      </x:c>
      <x:c r="N26" s="12" t="str">
        <x:v>Foundation baseline</x:v>
      </x:c>
      <x:c r="O26" s="12" t="str"/>
      <x:c r="P26" s="12" t="str">
        <x:v>Engineer</x:v>
      </x:c>
      <x:c r="Q26" s="12" t="str"/>
      <x:c r="R26" s="12" t="str"/>
      <x:c r="S26" s="12" t="str"/>
    </x:row>
    <x:row r="27">
      <x:c r="A27" s="12" t="str">
        <x:v>AUTH-F01</x:v>
      </x:c>
      <x:c r="B27" s="12" t="str">
        <x:v>Feature</x:v>
      </x:c>
      <x:c r="C27" s="12" t="str">
        <x:v>EPIC-01</x:v>
      </x:c>
      <x:c r="D27" s="12" t="str">
        <x:v>Sign-in and session establishment</x:v>
      </x:c>
      <x:c r="E27" s="12" t="str">
        <x:v>Must</x:v>
      </x:c>
      <x:c r="F27" s="12" t="str">
        <x:v>Lean</x:v>
      </x:c>
      <x:c r="G27" s="12" t="str">
        <x:v>Backlog</x:v>
      </x:c>
      <x:c r="H27" s="12" t="str"/>
      <x:c r="I27" s="12" t="str">
        <x:v>Not Started</x:v>
      </x:c>
      <x:c r="J27" s="12" t="str">
        <x:v>N/A</x:v>
      </x:c>
      <x:c r="K27" s="12" t="str">
        <x:v>Not Started</x:v>
      </x:c>
      <x:c r="L27" s="12" t="str">
        <x:v>Pending</x:v>
      </x:c>
      <x:c r="M27" s="12" t="str">
        <x:v>Not Met</x:v>
      </x:c>
      <x:c r="N27" s="12" t="str"/>
      <x:c r="O27" s="12" t="str"/>
      <x:c r="P27" s="12" t="str">
        <x:v>Engineer + Agent-assisted</x:v>
      </x:c>
      <x:c r="Q27" s="12" t="str"/>
      <x:c r="R27" s="12" t="str"/>
      <x:c r="S27" s="12" t="str"/>
    </x:row>
    <x:row r="28">
      <x:c r="A28" s="12" t="str">
        <x:v>AUTH-F02</x:v>
      </x:c>
      <x:c r="B28" s="12" t="str">
        <x:v>Feature</x:v>
      </x:c>
      <x:c r="C28" s="12" t="str">
        <x:v>EPIC-01</x:v>
      </x:c>
      <x:c r="D28" s="12" t="str">
        <x:v>Session refresh, expiry and logout</x:v>
      </x:c>
      <x:c r="E28" s="12" t="str">
        <x:v>Must</x:v>
      </x:c>
      <x:c r="F28" s="12" t="str">
        <x:v>Lean</x:v>
      </x:c>
      <x:c r="G28" s="12" t="str">
        <x:v>Backlog</x:v>
      </x:c>
      <x:c r="H28" s="12" t="str"/>
      <x:c r="I28" s="12" t="str">
        <x:v>Not Started</x:v>
      </x:c>
      <x:c r="J28" s="12" t="str">
        <x:v>N/A</x:v>
      </x:c>
      <x:c r="K28" s="12" t="str">
        <x:v>Not Started</x:v>
      </x:c>
      <x:c r="L28" s="12" t="str">
        <x:v>Pending</x:v>
      </x:c>
      <x:c r="M28" s="12" t="str">
        <x:v>Not Met</x:v>
      </x:c>
      <x:c r="N28" s="12" t="str"/>
      <x:c r="O28" s="12" t="str"/>
      <x:c r="P28" s="12" t="str">
        <x:v>Engineer + Agent-assisted</x:v>
      </x:c>
      <x:c r="Q28" s="12" t="str"/>
      <x:c r="R28" s="12" t="str"/>
      <x:c r="S28" s="12" t="str"/>
    </x:row>
    <x:row r="29">
      <x:c r="A29" s="12" t="str">
        <x:v>AUTH-F03</x:v>
      </x:c>
      <x:c r="B29" s="12" t="str">
        <x:v>Feature</x:v>
      </x:c>
      <x:c r="C29" s="12" t="str">
        <x:v>EPIC-01</x:v>
      </x:c>
      <x:c r="D29" s="12" t="str">
        <x:v>Authenticated user context and profile</x:v>
      </x:c>
      <x:c r="E29" s="12" t="str">
        <x:v>Must</x:v>
      </x:c>
      <x:c r="F29" s="12" t="str">
        <x:v>Lean</x:v>
      </x:c>
      <x:c r="G29" s="12" t="str">
        <x:v>Backlog</x:v>
      </x:c>
      <x:c r="H29" s="12" t="str"/>
      <x:c r="I29" s="12" t="str">
        <x:v>Not Started</x:v>
      </x:c>
      <x:c r="J29" s="12" t="str">
        <x:v>N/A</x:v>
      </x:c>
      <x:c r="K29" s="12" t="str">
        <x:v>Not Started</x:v>
      </x:c>
      <x:c r="L29" s="12" t="str">
        <x:v>Pending</x:v>
      </x:c>
      <x:c r="M29" s="12" t="str">
        <x:v>Not Met</x:v>
      </x:c>
      <x:c r="N29" s="12" t="str"/>
      <x:c r="O29" s="12" t="str"/>
      <x:c r="P29" s="12" t="str">
        <x:v>Engineer + Agent-assisted</x:v>
      </x:c>
      <x:c r="Q29" s="12" t="str"/>
      <x:c r="R29" s="12" t="str"/>
      <x:c r="S29" s="12" t="str"/>
    </x:row>
    <x:row r="30">
      <x:c r="A30" s="12" t="str">
        <x:v>AUTH-F04</x:v>
      </x:c>
      <x:c r="B30" s="12" t="str">
        <x:v>Feature</x:v>
      </x:c>
      <x:c r="C30" s="12" t="str">
        <x:v>EPIC-01</x:v>
      </x:c>
      <x:c r="D30" s="12" t="str">
        <x:v>Protected routes and unauthorized states</x:v>
      </x:c>
      <x:c r="E30" s="12" t="str">
        <x:v>Must</x:v>
      </x:c>
      <x:c r="F30" s="12" t="str">
        <x:v>Lean</x:v>
      </x:c>
      <x:c r="G30" s="12" t="str">
        <x:v>Backlog</x:v>
      </x:c>
      <x:c r="H30" s="12" t="str"/>
      <x:c r="I30" s="12" t="str">
        <x:v>Not Started</x:v>
      </x:c>
      <x:c r="J30" s="12" t="str">
        <x:v>N/A</x:v>
      </x:c>
      <x:c r="K30" s="12" t="str">
        <x:v>Not Started</x:v>
      </x:c>
      <x:c r="L30" s="12" t="str">
        <x:v>Pending</x:v>
      </x:c>
      <x:c r="M30" s="12" t="str">
        <x:v>Not Met</x:v>
      </x:c>
      <x:c r="N30" s="12" t="str"/>
      <x:c r="O30" s="12" t="str"/>
      <x:c r="P30" s="12" t="str">
        <x:v>Engineer + Agent-assisted</x:v>
      </x:c>
      <x:c r="Q30" s="12" t="str"/>
      <x:c r="R30" s="12" t="str"/>
      <x:c r="S30" s="12" t="str"/>
    </x:row>
    <x:row r="31">
      <x:c r="A31" s="12" t="str">
        <x:v>AUTH-F05</x:v>
      </x:c>
      <x:c r="B31" s="12" t="str">
        <x:v>Feature</x:v>
      </x:c>
      <x:c r="C31" s="12" t="str">
        <x:v>EPIC-01</x:v>
      </x:c>
      <x:c r="D31" s="12" t="str">
        <x:v>Authentication failure and recovery UX</x:v>
      </x:c>
      <x:c r="E31" s="12" t="str">
        <x:v>Must</x:v>
      </x:c>
      <x:c r="F31" s="12" t="str">
        <x:v>Lean</x:v>
      </x:c>
      <x:c r="G31" s="12" t="str">
        <x:v>Backlog</x:v>
      </x:c>
      <x:c r="H31" s="12" t="str"/>
      <x:c r="I31" s="12" t="str">
        <x:v>Not Started</x:v>
      </x:c>
      <x:c r="J31" s="12" t="str">
        <x:v>N/A</x:v>
      </x:c>
      <x:c r="K31" s="12" t="str">
        <x:v>Not Started</x:v>
      </x:c>
      <x:c r="L31" s="12" t="str">
        <x:v>Pending</x:v>
      </x:c>
      <x:c r="M31" s="12" t="str">
        <x:v>Not Met</x:v>
      </x:c>
      <x:c r="N31" s="12" t="str"/>
      <x:c r="O31" s="12" t="str"/>
      <x:c r="P31" s="12" t="str">
        <x:v>Engineer + Agent-assisted</x:v>
      </x:c>
      <x:c r="Q31" s="12" t="str"/>
      <x:c r="R31" s="12" t="str"/>
      <x:c r="S31" s="12" t="str"/>
    </x:row>
    <x:row r="32">
      <x:c r="A32" s="12" t="str">
        <x:v>EPIC-02</x:v>
      </x:c>
      <x:c r="B32" s="12" t="str">
        <x:v>Epic</x:v>
      </x:c>
      <x:c r="C32" s="12" t="str"/>
      <x:c r="D32" s="12" t="str">
        <x:v>Product Catalog Management</x:v>
      </x:c>
      <x:c r="E32" s="12" t="str">
        <x:v>Must</x:v>
      </x:c>
      <x:c r="F32" s="12" t="str">
        <x:v>Full</x:v>
      </x:c>
      <x:c r="G32" s="12" t="str">
        <x:v>Backlog</x:v>
      </x:c>
      <x:c r="H32" s="12" t="str"/>
      <x:c r="I32" s="12" t="str">
        <x:v>Not Started</x:v>
      </x:c>
      <x:c r="J32" s="12" t="str">
        <x:v>N/A</x:v>
      </x:c>
      <x:c r="K32" s="12" t="str">
        <x:v>Not Started</x:v>
      </x:c>
      <x:c r="L32" s="12" t="str">
        <x:v>Pending</x:v>
      </x:c>
      <x:c r="M32" s="12" t="str">
        <x:v>Not Met</x:v>
      </x:c>
      <x:c r="N32" s="12" t="str">
        <x:v>Foundation baseline</x:v>
      </x:c>
      <x:c r="O32" s="12" t="str"/>
      <x:c r="P32" s="12" t="str">
        <x:v>Engineer</x:v>
      </x:c>
      <x:c r="Q32" s="12" t="str"/>
      <x:c r="R32" s="12" t="str"/>
      <x:c r="S32" s="12" t="str"/>
    </x:row>
    <x:row r="33">
      <x:c r="A33" s="12" t="str">
        <x:v>PROD-F01</x:v>
      </x:c>
      <x:c r="B33" s="12" t="str">
        <x:v>Feature</x:v>
      </x:c>
      <x:c r="C33" s="12" t="str">
        <x:v>EPIC-02</x:v>
      </x:c>
      <x:c r="D33" s="12" t="str">
        <x:v>Product list, search, filter, sort and pagination</x:v>
      </x:c>
      <x:c r="E33" s="12" t="str">
        <x:v>Must</x:v>
      </x:c>
      <x:c r="F33" s="12" t="str">
        <x:v>Lean</x:v>
      </x:c>
      <x:c r="G33" s="12" t="str">
        <x:v>Backlog</x:v>
      </x:c>
      <x:c r="H33" s="12" t="str"/>
      <x:c r="I33" s="12" t="str">
        <x:v>Not Started</x:v>
      </x:c>
      <x:c r="J33" s="12" t="str">
        <x:v>N/A</x:v>
      </x:c>
      <x:c r="K33" s="12" t="str">
        <x:v>Not Started</x:v>
      </x:c>
      <x:c r="L33" s="12" t="str">
        <x:v>Pending</x:v>
      </x:c>
      <x:c r="M33" s="12" t="str">
        <x:v>Not Met</x:v>
      </x:c>
      <x:c r="N33" s="12" t="str"/>
      <x:c r="O33" s="12" t="str"/>
      <x:c r="P33" s="12" t="str">
        <x:v>Engineer + Agent-assisted</x:v>
      </x:c>
      <x:c r="Q33" s="12" t="str"/>
      <x:c r="R33" s="12" t="str"/>
      <x:c r="S33" s="12" t="str"/>
    </x:row>
    <x:row r="34">
      <x:c r="A34" s="12" t="str">
        <x:v>PROD-F02</x:v>
      </x:c>
      <x:c r="B34" s="12" t="str">
        <x:v>Feature</x:v>
      </x:c>
      <x:c r="C34" s="12" t="str">
        <x:v>EPIC-02</x:v>
      </x:c>
      <x:c r="D34" s="12" t="str">
        <x:v>Product detail view</x:v>
      </x:c>
      <x:c r="E34" s="12" t="str">
        <x:v>Must</x:v>
      </x:c>
      <x:c r="F34" s="12" t="str">
        <x:v>Lean</x:v>
      </x:c>
      <x:c r="G34" s="12" t="str">
        <x:v>Backlog</x:v>
      </x:c>
      <x:c r="H34" s="12" t="str"/>
      <x:c r="I34" s="12" t="str">
        <x:v>Not Started</x:v>
      </x:c>
      <x:c r="J34" s="12" t="str">
        <x:v>N/A</x:v>
      </x:c>
      <x:c r="K34" s="12" t="str">
        <x:v>Not Started</x:v>
      </x:c>
      <x:c r="L34" s="12" t="str">
        <x:v>Pending</x:v>
      </x:c>
      <x:c r="M34" s="12" t="str">
        <x:v>Not Met</x:v>
      </x:c>
      <x:c r="N34" s="12" t="str"/>
      <x:c r="O34" s="12" t="str"/>
      <x:c r="P34" s="12" t="str">
        <x:v>Engineer + Agent-assisted</x:v>
      </x:c>
      <x:c r="Q34" s="12" t="str"/>
      <x:c r="R34" s="12" t="str"/>
      <x:c r="S34" s="12" t="str"/>
    </x:row>
    <x:row r="35">
      <x:c r="A35" s="12" t="str">
        <x:v>PROD-F03</x:v>
      </x:c>
      <x:c r="B35" s="12" t="str">
        <x:v>Feature</x:v>
      </x:c>
      <x:c r="C35" s="12" t="str">
        <x:v>EPIC-02</x:v>
      </x:c>
      <x:c r="D35" s="12" t="str">
        <x:v>Create and edit product</x:v>
      </x:c>
      <x:c r="E35" s="12" t="str">
        <x:v>Must</x:v>
      </x:c>
      <x:c r="F35" s="12" t="str">
        <x:v>Lean</x:v>
      </x:c>
      <x:c r="G35" s="12" t="str">
        <x:v>Backlog</x:v>
      </x:c>
      <x:c r="H35" s="12" t="str"/>
      <x:c r="I35" s="12" t="str">
        <x:v>Not Started</x:v>
      </x:c>
      <x:c r="J35" s="12" t="str">
        <x:v>N/A</x:v>
      </x:c>
      <x:c r="K35" s="12" t="str">
        <x:v>Not Started</x:v>
      </x:c>
      <x:c r="L35" s="12" t="str">
        <x:v>Pending</x:v>
      </x:c>
      <x:c r="M35" s="12" t="str">
        <x:v>Not Met</x:v>
      </x:c>
      <x:c r="N35" s="12" t="str"/>
      <x:c r="O35" s="12" t="str"/>
      <x:c r="P35" s="12" t="str">
        <x:v>Engineer + Agent-assisted</x:v>
      </x:c>
      <x:c r="Q35" s="12" t="str"/>
      <x:c r="R35" s="12" t="str"/>
      <x:c r="S35" s="12" t="str"/>
    </x:row>
    <x:row r="36">
      <x:c r="A36" s="12" t="str">
        <x:v>PROD-F04</x:v>
      </x:c>
      <x:c r="B36" s="12" t="str">
        <x:v>Feature</x:v>
      </x:c>
      <x:c r="C36" s="12" t="str">
        <x:v>EPIC-02</x:v>
      </x:c>
      <x:c r="D36" s="12" t="str">
        <x:v>Variant, SKU and pricing management</x:v>
      </x:c>
      <x:c r="E36" s="12" t="str">
        <x:v>Must</x:v>
      </x:c>
      <x:c r="F36" s="12" t="str">
        <x:v>Lean</x:v>
      </x:c>
      <x:c r="G36" s="12" t="str">
        <x:v>Backlog</x:v>
      </x:c>
      <x:c r="H36" s="12" t="str"/>
      <x:c r="I36" s="12" t="str">
        <x:v>Not Started</x:v>
      </x:c>
      <x:c r="J36" s="12" t="str">
        <x:v>N/A</x:v>
      </x:c>
      <x:c r="K36" s="12" t="str">
        <x:v>Not Started</x:v>
      </x:c>
      <x:c r="L36" s="12" t="str">
        <x:v>Pending</x:v>
      </x:c>
      <x:c r="M36" s="12" t="str">
        <x:v>Not Met</x:v>
      </x:c>
      <x:c r="N36" s="12" t="str"/>
      <x:c r="O36" s="12" t="str"/>
      <x:c r="P36" s="12" t="str">
        <x:v>Engineer + Agent-assisted</x:v>
      </x:c>
      <x:c r="Q36" s="12" t="str"/>
      <x:c r="R36" s="12" t="str"/>
      <x:c r="S36" s="12" t="str"/>
    </x:row>
    <x:row r="37">
      <x:c r="A37" s="12" t="str">
        <x:v>PROD-F05</x:v>
      </x:c>
      <x:c r="B37" s="12" t="str">
        <x:v>Feature</x:v>
      </x:c>
      <x:c r="C37" s="12" t="str">
        <x:v>EPIC-02</x:v>
      </x:c>
      <x:c r="D37" s="12" t="str">
        <x:v>Product status / publish controls</x:v>
      </x:c>
      <x:c r="E37" s="12" t="str">
        <x:v>Must</x:v>
      </x:c>
      <x:c r="F37" s="12" t="str">
        <x:v>Lean</x:v>
      </x:c>
      <x:c r="G37" s="12" t="str">
        <x:v>Backlog</x:v>
      </x:c>
      <x:c r="H37" s="12" t="str"/>
      <x:c r="I37" s="12" t="str">
        <x:v>Not Started</x:v>
      </x:c>
      <x:c r="J37" s="12" t="str">
        <x:v>N/A</x:v>
      </x:c>
      <x:c r="K37" s="12" t="str">
        <x:v>Not Started</x:v>
      </x:c>
      <x:c r="L37" s="12" t="str">
        <x:v>Pending</x:v>
      </x:c>
      <x:c r="M37" s="12" t="str">
        <x:v>Not Met</x:v>
      </x:c>
      <x:c r="N37" s="12" t="str"/>
      <x:c r="O37" s="12" t="str"/>
      <x:c r="P37" s="12" t="str">
        <x:v>Engineer + Agent-assisted</x:v>
      </x:c>
      <x:c r="Q37" s="12" t="str"/>
      <x:c r="R37" s="12" t="str"/>
      <x:c r="S37" s="12" t="str"/>
    </x:row>
    <x:row r="38">
      <x:c r="A38" s="12" t="str">
        <x:v>PROD-F06</x:v>
      </x:c>
      <x:c r="B38" s="12" t="str">
        <x:v>Feature</x:v>
      </x:c>
      <x:c r="C38" s="12" t="str">
        <x:v>EPIC-02</x:v>
      </x:c>
      <x:c r="D38" s="12" t="str">
        <x:v>Bulk product operations</x:v>
      </x:c>
      <x:c r="E38" s="12" t="str">
        <x:v>Should</x:v>
      </x:c>
      <x:c r="F38" s="12" t="str">
        <x:v>Lean</x:v>
      </x:c>
      <x:c r="G38" s="12" t="str">
        <x:v>Backlog</x:v>
      </x:c>
      <x:c r="H38" s="12" t="str"/>
      <x:c r="I38" s="12" t="str">
        <x:v>Not Started</x:v>
      </x:c>
      <x:c r="J38" s="12" t="str">
        <x:v>N/A</x:v>
      </x:c>
      <x:c r="K38" s="12" t="str">
        <x:v>Not Started</x:v>
      </x:c>
      <x:c r="L38" s="12" t="str">
        <x:v>Pending</x:v>
      </x:c>
      <x:c r="M38" s="12" t="str">
        <x:v>Not Met</x:v>
      </x:c>
      <x:c r="N38" s="12" t="str"/>
      <x:c r="O38" s="12" t="str"/>
      <x:c r="P38" s="12" t="str">
        <x:v>Engineer + Agent-assisted</x:v>
      </x:c>
      <x:c r="Q38" s="12" t="str"/>
      <x:c r="R38" s="12" t="str"/>
      <x:c r="S38" s="12" t="str"/>
    </x:row>
    <x:row r="39">
      <x:c r="A39" s="12" t="str">
        <x:v>EPIC-03</x:v>
      </x:c>
      <x:c r="B39" s="12" t="str">
        <x:v>Epic</x:v>
      </x:c>
      <x:c r="C39" s="12" t="str"/>
      <x:c r="D39" s="12" t="str">
        <x:v>Inventory Management</x:v>
      </x:c>
      <x:c r="E39" s="12" t="str">
        <x:v>Must</x:v>
      </x:c>
      <x:c r="F39" s="12" t="str">
        <x:v>Full</x:v>
      </x:c>
      <x:c r="G39" s="12" t="str">
        <x:v>Approved</x:v>
      </x:c>
      <x:c r="H39" s="12" t="str">
        <x:v>v1.0</x:v>
      </x:c>
      <x:c r="I39" s="12" t="str">
        <x:v>Not Started</x:v>
      </x:c>
      <x:c r="J39" s="12" t="str">
        <x:v>N/A</x:v>
      </x:c>
      <x:c r="K39" s="12" t="str">
        <x:v>Not Started</x:v>
      </x:c>
      <x:c r="L39" s="12" t="str">
        <x:v>Approved</x:v>
      </x:c>
      <x:c r="M39" s="12" t="str">
        <x:v>Not Met</x:v>
      </x:c>
      <x:c r="N39" s="12" t="str">
        <x:v>Foundation baseline</x:v>
      </x:c>
      <x:c r="O39" s="12" t="str"/>
      <x:c r="P39" s="12" t="str">
        <x:v>Engineer</x:v>
      </x:c>
      <x:c r="Q39" s="12" t="str"/>
      <x:c r="R39" s="12" t="str"/>
      <x:c r="S39" s="12" t="str"/>
    </x:row>
    <x:row r="40">
      <x:c r="A40" s="12" t="str">
        <x:v>INV-F01</x:v>
      </x:c>
      <x:c r="B40" s="12" t="str">
        <x:v>Feature</x:v>
      </x:c>
      <x:c r="C40" s="12" t="str">
        <x:v>EPIC-03</x:v>
      </x:c>
      <x:c r="D40" s="12" t="str">
        <x:v>Inventory list and operational filtering</x:v>
      </x:c>
      <x:c r="E40" s="12" t="str">
        <x:v>Must</x:v>
      </x:c>
      <x:c r="F40" s="12" t="str">
        <x:v>Lean</x:v>
      </x:c>
      <x:c r="G40" s="12" t="str">
        <x:v>Backlog</x:v>
      </x:c>
      <x:c r="H40" s="12" t="str"/>
      <x:c r="I40" s="12" t="str">
        <x:v>Not Started</x:v>
      </x:c>
      <x:c r="J40" s="12" t="str">
        <x:v>N/A</x:v>
      </x:c>
      <x:c r="K40" s="12" t="str">
        <x:v>Not Started</x:v>
      </x:c>
      <x:c r="L40" s="12" t="str">
        <x:v>Pending</x:v>
      </x:c>
      <x:c r="M40" s="12" t="str">
        <x:v>Not Met</x:v>
      </x:c>
      <x:c r="N40" s="12" t="str"/>
      <x:c r="O40" s="12" t="str"/>
      <x:c r="P40" s="12" t="str">
        <x:v>Engineer + Agent-assisted</x:v>
      </x:c>
      <x:c r="Q40" s="12" t="str"/>
      <x:c r="R40" s="12" t="str"/>
      <x:c r="S40" s="12" t="str"/>
    </x:row>
    <x:row r="41">
      <x:c r="A41" s="12" t="str">
        <x:v>INV-F02</x:v>
      </x:c>
      <x:c r="B41" s="12" t="str">
        <x:v>Feature</x:v>
      </x:c>
      <x:c r="C41" s="12" t="str">
        <x:v>EPIC-03</x:v>
      </x:c>
      <x:c r="D41" s="12" t="str">
        <x:v>Inventory detail by SKU and location</x:v>
      </x:c>
      <x:c r="E41" s="12" t="str">
        <x:v>Must</x:v>
      </x:c>
      <x:c r="F41" s="12" t="str">
        <x:v>Lean</x:v>
      </x:c>
      <x:c r="G41" s="12" t="str">
        <x:v>Backlog</x:v>
      </x:c>
      <x:c r="H41" s="12" t="str"/>
      <x:c r="I41" s="12" t="str">
        <x:v>Not Started</x:v>
      </x:c>
      <x:c r="J41" s="12" t="str">
        <x:v>N/A</x:v>
      </x:c>
      <x:c r="K41" s="12" t="str">
        <x:v>Not Started</x:v>
      </x:c>
      <x:c r="L41" s="12" t="str">
        <x:v>Pending</x:v>
      </x:c>
      <x:c r="M41" s="12" t="str">
        <x:v>Not Met</x:v>
      </x:c>
      <x:c r="N41" s="12" t="str"/>
      <x:c r="O41" s="12" t="str"/>
      <x:c r="P41" s="12" t="str">
        <x:v>Engineer + Agent-assisted</x:v>
      </x:c>
      <x:c r="Q41" s="12" t="str"/>
      <x:c r="R41" s="12" t="str"/>
      <x:c r="S41" s="12" t="str"/>
    </x:row>
    <x:row r="42">
      <x:c r="A42" s="12" t="str">
        <x:v>INV-F03</x:v>
      </x:c>
      <x:c r="B42" s="12" t="str">
        <x:v>Feature</x:v>
      </x:c>
      <x:c r="C42" s="12" t="str">
        <x:v>EPIC-03</x:v>
      </x:c>
      <x:c r="D42" s="12" t="str">
        <x:v>Controlled stock adjustment</x:v>
      </x:c>
      <x:c r="E42" s="12" t="str">
        <x:v>Must</x:v>
      </x:c>
      <x:c r="F42" s="12" t="str">
        <x:v>Full</x:v>
      </x:c>
      <x:c r="G42" s="12" t="str">
        <x:v>Approved</x:v>
      </x:c>
      <x:c r="H42" s="12" t="str">
        <x:v>v1.0</x:v>
      </x:c>
      <x:c r="I42" s="12" t="str">
        <x:v>Not Started</x:v>
      </x:c>
      <x:c r="J42" s="12" t="str">
        <x:v>Not Started</x:v>
      </x:c>
      <x:c r="K42" s="12" t="str">
        <x:v>Not Started</x:v>
      </x:c>
      <x:c r="L42" s="12" t="str">
        <x:v>Approved</x:v>
      </x:c>
      <x:c r="M42" s="12" t="str">
        <x:v>Not Met</x:v>
      </x:c>
      <x:c r="N42" s="12" t="str"/>
      <x:c r="O42" s="12" t="str"/>
      <x:c r="P42" s="12" t="str">
        <x:v>Engineer + Agent-assisted</x:v>
      </x:c>
      <x:c r="Q42" s="12" t="str"/>
      <x:c r="R42" s="12" t="str"/>
      <x:c r="S42" s="12" t="str">
        <x:v>Full Feature Spec approved in CommerceOps EPIC-03 Inventory Development Specification v1.0</x:v>
      </x:c>
    </x:row>
    <x:row r="43">
      <x:c r="A43" s="12" t="str">
        <x:v>INV-F04</x:v>
      </x:c>
      <x:c r="B43" s="12" t="str">
        <x:v>Feature</x:v>
      </x:c>
      <x:c r="C43" s="12" t="str">
        <x:v>EPIC-03</x:v>
      </x:c>
      <x:c r="D43" s="12" t="str">
        <x:v>Optimistic update and concurrency conflict handling</x:v>
      </x:c>
      <x:c r="E43" s="12" t="str">
        <x:v>Must</x:v>
      </x:c>
      <x:c r="F43" s="12" t="str">
        <x:v>Full</x:v>
      </x:c>
      <x:c r="G43" s="12" t="str">
        <x:v>Backlog</x:v>
      </x:c>
      <x:c r="H43" s="12" t="str"/>
      <x:c r="I43" s="12" t="str">
        <x:v>Not Started</x:v>
      </x:c>
      <x:c r="J43" s="12" t="str">
        <x:v>Not Started</x:v>
      </x:c>
      <x:c r="K43" s="12" t="str">
        <x:v>Not Started</x:v>
      </x:c>
      <x:c r="L43" s="12" t="str">
        <x:v>Pending</x:v>
      </x:c>
      <x:c r="M43" s="12" t="str">
        <x:v>Not Met</x:v>
      </x:c>
      <x:c r="N43" s="12" t="str"/>
      <x:c r="O43" s="12" t="str"/>
      <x:c r="P43" s="12" t="str">
        <x:v>Engineer + Agent-assisted</x:v>
      </x:c>
      <x:c r="Q43" s="12" t="str"/>
      <x:c r="R43" s="12" t="str"/>
      <x:c r="S43" s="12" t="str">
        <x:v>Recommended immediately after INV-F03 to exercise concurrency handling</x:v>
      </x:c>
    </x:row>
    <x:row r="44">
      <x:c r="A44" s="12" t="str">
        <x:v>INV-F05</x:v>
      </x:c>
      <x:c r="B44" s="12" t="str">
        <x:v>Feature</x:v>
      </x:c>
      <x:c r="C44" s="12" t="str">
        <x:v>EPIC-03</x:v>
      </x:c>
      <x:c r="D44" s="12" t="str">
        <x:v>Low-stock indicators and operational alerts</x:v>
      </x:c>
      <x:c r="E44" s="12" t="str">
        <x:v>Should</x:v>
      </x:c>
      <x:c r="F44" s="12" t="str">
        <x:v>Lean</x:v>
      </x:c>
      <x:c r="G44" s="12" t="str">
        <x:v>Backlog</x:v>
      </x:c>
      <x:c r="H44" s="12" t="str"/>
      <x:c r="I44" s="12" t="str">
        <x:v>Not Started</x:v>
      </x:c>
      <x:c r="J44" s="12" t="str">
        <x:v>N/A</x:v>
      </x:c>
      <x:c r="K44" s="12" t="str">
        <x:v>Not Started</x:v>
      </x:c>
      <x:c r="L44" s="12" t="str">
        <x:v>Pending</x:v>
      </x:c>
      <x:c r="M44" s="12" t="str">
        <x:v>Not Met</x:v>
      </x:c>
      <x:c r="N44" s="12" t="str"/>
      <x:c r="O44" s="12" t="str"/>
      <x:c r="P44" s="12" t="str">
        <x:v>Engineer + Agent-assisted</x:v>
      </x:c>
      <x:c r="Q44" s="12" t="str"/>
      <x:c r="R44" s="12" t="str"/>
      <x:c r="S44" s="12" t="str"/>
    </x:row>
    <x:row r="45">
      <x:c r="A45" s="12" t="str">
        <x:v>INV-F06</x:v>
      </x:c>
      <x:c r="B45" s="12" t="str">
        <x:v>Feature</x:v>
      </x:c>
      <x:c r="C45" s="12" t="str">
        <x:v>EPIC-03</x:v>
      </x:c>
      <x:c r="D45" s="12" t="str">
        <x:v>Inventory change history</x:v>
      </x:c>
      <x:c r="E45" s="12" t="str">
        <x:v>Must</x:v>
      </x:c>
      <x:c r="F45" s="12" t="str">
        <x:v>Lean</x:v>
      </x:c>
      <x:c r="G45" s="12" t="str">
        <x:v>Backlog</x:v>
      </x:c>
      <x:c r="H45" s="12" t="str"/>
      <x:c r="I45" s="12" t="str">
        <x:v>Not Started</x:v>
      </x:c>
      <x:c r="J45" s="12" t="str">
        <x:v>N/A</x:v>
      </x:c>
      <x:c r="K45" s="12" t="str">
        <x:v>Not Started</x:v>
      </x:c>
      <x:c r="L45" s="12" t="str">
        <x:v>Pending</x:v>
      </x:c>
      <x:c r="M45" s="12" t="str">
        <x:v>Not Met</x:v>
      </x:c>
      <x:c r="N45" s="12" t="str"/>
      <x:c r="O45" s="12" t="str"/>
      <x:c r="P45" s="12" t="str">
        <x:v>Engineer + Agent-assisted</x:v>
      </x:c>
      <x:c r="Q45" s="12" t="str"/>
      <x:c r="R45" s="12" t="str"/>
      <x:c r="S45" s="12" t="str"/>
    </x:row>
    <x:row r="46">
      <x:c r="A46" s="12" t="str">
        <x:v>EPIC-04</x:v>
      </x:c>
      <x:c r="B46" s="12" t="str">
        <x:v>Epic</x:v>
      </x:c>
      <x:c r="C46" s="12" t="str"/>
      <x:c r="D46" s="12" t="str">
        <x:v>Order Operations</x:v>
      </x:c>
      <x:c r="E46" s="12" t="str">
        <x:v>Must</x:v>
      </x:c>
      <x:c r="F46" s="12" t="str">
        <x:v>Full</x:v>
      </x:c>
      <x:c r="G46" s="12" t="str">
        <x:v>Backlog</x:v>
      </x:c>
      <x:c r="H46" s="12" t="str"/>
      <x:c r="I46" s="12" t="str">
        <x:v>Not Started</x:v>
      </x:c>
      <x:c r="J46" s="12" t="str">
        <x:v>N/A</x:v>
      </x:c>
      <x:c r="K46" s="12" t="str">
        <x:v>Not Started</x:v>
      </x:c>
      <x:c r="L46" s="12" t="str">
        <x:v>Pending</x:v>
      </x:c>
      <x:c r="M46" s="12" t="str">
        <x:v>Not Met</x:v>
      </x:c>
      <x:c r="N46" s="12" t="str">
        <x:v>Foundation baseline</x:v>
      </x:c>
      <x:c r="O46" s="12" t="str"/>
      <x:c r="P46" s="12" t="str">
        <x:v>Engineer</x:v>
      </x:c>
      <x:c r="Q46" s="12" t="str"/>
      <x:c r="R46" s="12" t="str"/>
      <x:c r="S46" s="12" t="str"/>
    </x:row>
    <x:row r="47">
      <x:c r="A47" s="12" t="str">
        <x:v>ORD-F01</x:v>
      </x:c>
      <x:c r="B47" s="12" t="str">
        <x:v>Feature</x:v>
      </x:c>
      <x:c r="C47" s="12" t="str">
        <x:v>EPIC-04</x:v>
      </x:c>
      <x:c r="D47" s="12" t="str">
        <x:v>Order list, search, filters and pagination</x:v>
      </x:c>
      <x:c r="E47" s="12" t="str">
        <x:v>Must</x:v>
      </x:c>
      <x:c r="F47" s="12" t="str">
        <x:v>Lean</x:v>
      </x:c>
      <x:c r="G47" s="12" t="str">
        <x:v>Backlog</x:v>
      </x:c>
      <x:c r="H47" s="12" t="str"/>
      <x:c r="I47" s="12" t="str">
        <x:v>Not Started</x:v>
      </x:c>
      <x:c r="J47" s="12" t="str">
        <x:v>N/A</x:v>
      </x:c>
      <x:c r="K47" s="12" t="str">
        <x:v>Not Started</x:v>
      </x:c>
      <x:c r="L47" s="12" t="str">
        <x:v>Pending</x:v>
      </x:c>
      <x:c r="M47" s="12" t="str">
        <x:v>Not Met</x:v>
      </x:c>
      <x:c r="N47" s="12" t="str"/>
      <x:c r="O47" s="12" t="str"/>
      <x:c r="P47" s="12" t="str">
        <x:v>Engineer + Agent-assisted</x:v>
      </x:c>
      <x:c r="Q47" s="12" t="str"/>
      <x:c r="R47" s="12" t="str"/>
      <x:c r="S47" s="12" t="str"/>
    </x:row>
    <x:row r="48">
      <x:c r="A48" s="12" t="str">
        <x:v>ORD-F02</x:v>
      </x:c>
      <x:c r="B48" s="12" t="str">
        <x:v>Feature</x:v>
      </x:c>
      <x:c r="C48" s="12" t="str">
        <x:v>EPIC-04</x:v>
      </x:c>
      <x:c r="D48" s="12" t="str">
        <x:v>Order detail and timeline</x:v>
      </x:c>
      <x:c r="E48" s="12" t="str">
        <x:v>Must</x:v>
      </x:c>
      <x:c r="F48" s="12" t="str">
        <x:v>Lean</x:v>
      </x:c>
      <x:c r="G48" s="12" t="str">
        <x:v>Backlog</x:v>
      </x:c>
      <x:c r="H48" s="12" t="str"/>
      <x:c r="I48" s="12" t="str">
        <x:v>Not Started</x:v>
      </x:c>
      <x:c r="J48" s="12" t="str">
        <x:v>N/A</x:v>
      </x:c>
      <x:c r="K48" s="12" t="str">
        <x:v>Not Started</x:v>
      </x:c>
      <x:c r="L48" s="12" t="str">
        <x:v>Pending</x:v>
      </x:c>
      <x:c r="M48" s="12" t="str">
        <x:v>Not Met</x:v>
      </x:c>
      <x:c r="N48" s="12" t="str"/>
      <x:c r="O48" s="12" t="str"/>
      <x:c r="P48" s="12" t="str">
        <x:v>Engineer + Agent-assisted</x:v>
      </x:c>
      <x:c r="Q48" s="12" t="str"/>
      <x:c r="R48" s="12" t="str"/>
      <x:c r="S48" s="12" t="str"/>
    </x:row>
    <x:row r="49">
      <x:c r="A49" s="12" t="str">
        <x:v>ORD-F03</x:v>
      </x:c>
      <x:c r="B49" s="12" t="str">
        <x:v>Feature</x:v>
      </x:c>
      <x:c r="C49" s="12" t="str">
        <x:v>EPIC-04</x:v>
      </x:c>
      <x:c r="D49" s="12" t="str">
        <x:v>Fulfilment workflow</x:v>
      </x:c>
      <x:c r="E49" s="12" t="str">
        <x:v>Must</x:v>
      </x:c>
      <x:c r="F49" s="12" t="str">
        <x:v>Full</x:v>
      </x:c>
      <x:c r="G49" s="12" t="str">
        <x:v>Backlog</x:v>
      </x:c>
      <x:c r="H49" s="12" t="str"/>
      <x:c r="I49" s="12" t="str">
        <x:v>Not Started</x:v>
      </x:c>
      <x:c r="J49" s="12" t="str">
        <x:v>Not Started</x:v>
      </x:c>
      <x:c r="K49" s="12" t="str">
        <x:v>Not Started</x:v>
      </x:c>
      <x:c r="L49" s="12" t="str">
        <x:v>Pending</x:v>
      </x:c>
      <x:c r="M49" s="12" t="str">
        <x:v>Not Met</x:v>
      </x:c>
      <x:c r="N49" s="12" t="str"/>
      <x:c r="O49" s="12" t="str"/>
      <x:c r="P49" s="12" t="str">
        <x:v>Engineer + Agent-assisted</x:v>
      </x:c>
      <x:c r="Q49" s="12" t="str"/>
      <x:c r="R49" s="12" t="str"/>
      <x:c r="S49" s="12" t="str"/>
    </x:row>
    <x:row r="50">
      <x:c r="A50" s="12" t="str">
        <x:v>ORD-F04</x:v>
      </x:c>
      <x:c r="B50" s="12" t="str">
        <x:v>Feature</x:v>
      </x:c>
      <x:c r="C50" s="12" t="str">
        <x:v>EPIC-04</x:v>
      </x:c>
      <x:c r="D50" s="12" t="str">
        <x:v>Order cancellation workflow</x:v>
      </x:c>
      <x:c r="E50" s="12" t="str">
        <x:v>Must</x:v>
      </x:c>
      <x:c r="F50" s="12" t="str">
        <x:v>Full</x:v>
      </x:c>
      <x:c r="G50" s="12" t="str">
        <x:v>Backlog</x:v>
      </x:c>
      <x:c r="H50" s="12" t="str"/>
      <x:c r="I50" s="12" t="str">
        <x:v>Not Started</x:v>
      </x:c>
      <x:c r="J50" s="12" t="str">
        <x:v>Not Started</x:v>
      </x:c>
      <x:c r="K50" s="12" t="str">
        <x:v>Not Started</x:v>
      </x:c>
      <x:c r="L50" s="12" t="str">
        <x:v>Pending</x:v>
      </x:c>
      <x:c r="M50" s="12" t="str">
        <x:v>Not Met</x:v>
      </x:c>
      <x:c r="N50" s="12" t="str"/>
      <x:c r="O50" s="12" t="str"/>
      <x:c r="P50" s="12" t="str">
        <x:v>Engineer + Agent-assisted</x:v>
      </x:c>
      <x:c r="Q50" s="12" t="str"/>
      <x:c r="R50" s="12" t="str"/>
      <x:c r="S50" s="12" t="str"/>
    </x:row>
    <x:row r="51">
      <x:c r="A51" s="12" t="str">
        <x:v>ORD-F05</x:v>
      </x:c>
      <x:c r="B51" s="12" t="str">
        <x:v>Feature</x:v>
      </x:c>
      <x:c r="C51" s="12" t="str">
        <x:v>EPIC-04</x:v>
      </x:c>
      <x:c r="D51" s="12" t="str">
        <x:v>Partial refund simulation</x:v>
      </x:c>
      <x:c r="E51" s="12" t="str">
        <x:v>Must</x:v>
      </x:c>
      <x:c r="F51" s="12" t="str">
        <x:v>Full</x:v>
      </x:c>
      <x:c r="G51" s="12" t="str">
        <x:v>Backlog</x:v>
      </x:c>
      <x:c r="H51" s="12" t="str"/>
      <x:c r="I51" s="12" t="str">
        <x:v>Not Started</x:v>
      </x:c>
      <x:c r="J51" s="12" t="str">
        <x:v>Not Started</x:v>
      </x:c>
      <x:c r="K51" s="12" t="str">
        <x:v>Not Started</x:v>
      </x:c>
      <x:c r="L51" s="12" t="str">
        <x:v>Pending</x:v>
      </x:c>
      <x:c r="M51" s="12" t="str">
        <x:v>Not Met</x:v>
      </x:c>
      <x:c r="N51" s="12" t="str"/>
      <x:c r="O51" s="12" t="str"/>
      <x:c r="P51" s="12" t="str">
        <x:v>Engineer + Agent-assisted</x:v>
      </x:c>
      <x:c r="Q51" s="12" t="str"/>
      <x:c r="R51" s="12" t="str"/>
      <x:c r="S51" s="12" t="str"/>
    </x:row>
    <x:row r="52">
      <x:c r="A52" s="12" t="str">
        <x:v>ORD-F06</x:v>
      </x:c>
      <x:c r="B52" s="12" t="str">
        <x:v>Feature</x:v>
      </x:c>
      <x:c r="C52" s="12" t="str">
        <x:v>EPIC-04</x:v>
      </x:c>
      <x:c r="D52" s="12" t="str">
        <x:v>Order operational history and audit trail</x:v>
      </x:c>
      <x:c r="E52" s="12" t="str">
        <x:v>Must</x:v>
      </x:c>
      <x:c r="F52" s="12" t="str">
        <x:v>Lean</x:v>
      </x:c>
      <x:c r="G52" s="12" t="str">
        <x:v>Backlog</x:v>
      </x:c>
      <x:c r="H52" s="12" t="str"/>
      <x:c r="I52" s="12" t="str">
        <x:v>Not Started</x:v>
      </x:c>
      <x:c r="J52" s="12" t="str">
        <x:v>N/A</x:v>
      </x:c>
      <x:c r="K52" s="12" t="str">
        <x:v>Not Started</x:v>
      </x:c>
      <x:c r="L52" s="12" t="str">
        <x:v>Pending</x:v>
      </x:c>
      <x:c r="M52" s="12" t="str">
        <x:v>Not Met</x:v>
      </x:c>
      <x:c r="N52" s="12" t="str"/>
      <x:c r="O52" s="12" t="str"/>
      <x:c r="P52" s="12" t="str">
        <x:v>Engineer + Agent-assisted</x:v>
      </x:c>
      <x:c r="Q52" s="12" t="str"/>
      <x:c r="R52" s="12" t="str"/>
      <x:c r="S52" s="12" t="str"/>
    </x:row>
    <x:row r="53">
      <x:c r="A53" s="12" t="str">
        <x:v>EPIC-05</x:v>
      </x:c>
      <x:c r="B53" s="12" t="str">
        <x:v>Epic</x:v>
      </x:c>
      <x:c r="C53" s="12" t="str"/>
      <x:c r="D53" s="12" t="str">
        <x:v>Customer Management</x:v>
      </x:c>
      <x:c r="E53" s="12" t="str">
        <x:v>Must</x:v>
      </x:c>
      <x:c r="F53" s="12" t="str">
        <x:v>Full</x:v>
      </x:c>
      <x:c r="G53" s="12" t="str">
        <x:v>Backlog</x:v>
      </x:c>
      <x:c r="H53" s="12" t="str"/>
      <x:c r="I53" s="12" t="str">
        <x:v>Not Started</x:v>
      </x:c>
      <x:c r="J53" s="12" t="str">
        <x:v>N/A</x:v>
      </x:c>
      <x:c r="K53" s="12" t="str">
        <x:v>Not Started</x:v>
      </x:c>
      <x:c r="L53" s="12" t="str">
        <x:v>Pending</x:v>
      </x:c>
      <x:c r="M53" s="12" t="str">
        <x:v>Not Met</x:v>
      </x:c>
      <x:c r="N53" s="12" t="str">
        <x:v>Foundation baseline</x:v>
      </x:c>
      <x:c r="O53" s="12" t="str"/>
      <x:c r="P53" s="12" t="str">
        <x:v>Engineer</x:v>
      </x:c>
      <x:c r="Q53" s="12" t="str"/>
      <x:c r="R53" s="12" t="str"/>
      <x:c r="S53" s="12" t="str"/>
    </x:row>
    <x:row r="54">
      <x:c r="A54" s="12" t="str">
        <x:v>CUS-F01</x:v>
      </x:c>
      <x:c r="B54" s="12" t="str">
        <x:v>Feature</x:v>
      </x:c>
      <x:c r="C54" s="12" t="str">
        <x:v>EPIC-05</x:v>
      </x:c>
      <x:c r="D54" s="12" t="str">
        <x:v>Customer list and search</x:v>
      </x:c>
      <x:c r="E54" s="12" t="str">
        <x:v>Must</x:v>
      </x:c>
      <x:c r="F54" s="12" t="str">
        <x:v>Lean</x:v>
      </x:c>
      <x:c r="G54" s="12" t="str">
        <x:v>Backlog</x:v>
      </x:c>
      <x:c r="H54" s="12" t="str"/>
      <x:c r="I54" s="12" t="str">
        <x:v>Not Started</x:v>
      </x:c>
      <x:c r="J54" s="12" t="str">
        <x:v>N/A</x:v>
      </x:c>
      <x:c r="K54" s="12" t="str">
        <x:v>Not Started</x:v>
      </x:c>
      <x:c r="L54" s="12" t="str">
        <x:v>Pending</x:v>
      </x:c>
      <x:c r="M54" s="12" t="str">
        <x:v>Not Met</x:v>
      </x:c>
      <x:c r="N54" s="12" t="str"/>
      <x:c r="O54" s="12" t="str"/>
      <x:c r="P54" s="12" t="str">
        <x:v>Engineer + Agent-assisted</x:v>
      </x:c>
      <x:c r="Q54" s="12" t="str"/>
      <x:c r="R54" s="12" t="str"/>
      <x:c r="S54" s="12" t="str"/>
    </x:row>
    <x:row r="55">
      <x:c r="A55" s="12" t="str">
        <x:v>CUS-F02</x:v>
      </x:c>
      <x:c r="B55" s="12" t="str">
        <x:v>Feature</x:v>
      </x:c>
      <x:c r="C55" s="12" t="str">
        <x:v>EPIC-05</x:v>
      </x:c>
      <x:c r="D55" s="12" t="str">
        <x:v>Customer profile and account status</x:v>
      </x:c>
      <x:c r="E55" s="12" t="str">
        <x:v>Must</x:v>
      </x:c>
      <x:c r="F55" s="12" t="str">
        <x:v>Lean</x:v>
      </x:c>
      <x:c r="G55" s="12" t="str">
        <x:v>Backlog</x:v>
      </x:c>
      <x:c r="H55" s="12" t="str"/>
      <x:c r="I55" s="12" t="str">
        <x:v>Not Started</x:v>
      </x:c>
      <x:c r="J55" s="12" t="str">
        <x:v>N/A</x:v>
      </x:c>
      <x:c r="K55" s="12" t="str">
        <x:v>Not Started</x:v>
      </x:c>
      <x:c r="L55" s="12" t="str">
        <x:v>Pending</x:v>
      </x:c>
      <x:c r="M55" s="12" t="str">
        <x:v>Not Met</x:v>
      </x:c>
      <x:c r="N55" s="12" t="str"/>
      <x:c r="O55" s="12" t="str"/>
      <x:c r="P55" s="12" t="str">
        <x:v>Engineer + Agent-assisted</x:v>
      </x:c>
      <x:c r="Q55" s="12" t="str"/>
      <x:c r="R55" s="12" t="str"/>
      <x:c r="S55" s="12" t="str"/>
    </x:row>
    <x:row r="56">
      <x:c r="A56" s="12" t="str">
        <x:v>CUS-F03</x:v>
      </x:c>
      <x:c r="B56" s="12" t="str">
        <x:v>Feature</x:v>
      </x:c>
      <x:c r="C56" s="12" t="str">
        <x:v>EPIC-05</x:v>
      </x:c>
      <x:c r="D56" s="12" t="str">
        <x:v>Address and contact information</x:v>
      </x:c>
      <x:c r="E56" s="12" t="str">
        <x:v>Must</x:v>
      </x:c>
      <x:c r="F56" s="12" t="str">
        <x:v>Lean</x:v>
      </x:c>
      <x:c r="G56" s="12" t="str">
        <x:v>Backlog</x:v>
      </x:c>
      <x:c r="H56" s="12" t="str"/>
      <x:c r="I56" s="12" t="str">
        <x:v>Not Started</x:v>
      </x:c>
      <x:c r="J56" s="12" t="str">
        <x:v>N/A</x:v>
      </x:c>
      <x:c r="K56" s="12" t="str">
        <x:v>Not Started</x:v>
      </x:c>
      <x:c r="L56" s="12" t="str">
        <x:v>Pending</x:v>
      </x:c>
      <x:c r="M56" s="12" t="str">
        <x:v>Not Met</x:v>
      </x:c>
      <x:c r="N56" s="12" t="str"/>
      <x:c r="O56" s="12" t="str"/>
      <x:c r="P56" s="12" t="str">
        <x:v>Engineer + Agent-assisted</x:v>
      </x:c>
      <x:c r="Q56" s="12" t="str"/>
      <x:c r="R56" s="12" t="str"/>
      <x:c r="S56" s="12" t="str"/>
    </x:row>
    <x:row r="57">
      <x:c r="A57" s="12" t="str">
        <x:v>CUS-F04</x:v>
      </x:c>
      <x:c r="B57" s="12" t="str">
        <x:v>Feature</x:v>
      </x:c>
      <x:c r="C57" s="12" t="str">
        <x:v>EPIC-05</x:v>
      </x:c>
      <x:c r="D57" s="12" t="str">
        <x:v>Customer order history</x:v>
      </x:c>
      <x:c r="E57" s="12" t="str">
        <x:v>Must</x:v>
      </x:c>
      <x:c r="F57" s="12" t="str">
        <x:v>Lean</x:v>
      </x:c>
      <x:c r="G57" s="12" t="str">
        <x:v>Backlog</x:v>
      </x:c>
      <x:c r="H57" s="12" t="str"/>
      <x:c r="I57" s="12" t="str">
        <x:v>Not Started</x:v>
      </x:c>
      <x:c r="J57" s="12" t="str">
        <x:v>N/A</x:v>
      </x:c>
      <x:c r="K57" s="12" t="str">
        <x:v>Not Started</x:v>
      </x:c>
      <x:c r="L57" s="12" t="str">
        <x:v>Pending</x:v>
      </x:c>
      <x:c r="M57" s="12" t="str">
        <x:v>Not Met</x:v>
      </x:c>
      <x:c r="N57" s="12" t="str"/>
      <x:c r="O57" s="12" t="str"/>
      <x:c r="P57" s="12" t="str">
        <x:v>Engineer + Agent-assisted</x:v>
      </x:c>
      <x:c r="Q57" s="12" t="str"/>
      <x:c r="R57" s="12" t="str"/>
      <x:c r="S57" s="12" t="str"/>
    </x:row>
    <x:row r="58">
      <x:c r="A58" s="12" t="str">
        <x:v>CUS-F05</x:v>
      </x:c>
      <x:c r="B58" s="12" t="str">
        <x:v>Feature</x:v>
      </x:c>
      <x:c r="C58" s="12" t="str">
        <x:v>EPIC-05</x:v>
      </x:c>
      <x:c r="D58" s="12" t="str">
        <x:v>Operational notes and restricted PII display</x:v>
      </x:c>
      <x:c r="E58" s="12" t="str">
        <x:v>Must</x:v>
      </x:c>
      <x:c r="F58" s="12" t="str">
        <x:v>Lean</x:v>
      </x:c>
      <x:c r="G58" s="12" t="str">
        <x:v>Backlog</x:v>
      </x:c>
      <x:c r="H58" s="12" t="str"/>
      <x:c r="I58" s="12" t="str">
        <x:v>Not Started</x:v>
      </x:c>
      <x:c r="J58" s="12" t="str">
        <x:v>N/A</x:v>
      </x:c>
      <x:c r="K58" s="12" t="str">
        <x:v>Not Started</x:v>
      </x:c>
      <x:c r="L58" s="12" t="str">
        <x:v>Pending</x:v>
      </x:c>
      <x:c r="M58" s="12" t="str">
        <x:v>Not Met</x:v>
      </x:c>
      <x:c r="N58" s="12" t="str"/>
      <x:c r="O58" s="12" t="str"/>
      <x:c r="P58" s="12" t="str">
        <x:v>Engineer + Agent-assisted</x:v>
      </x:c>
      <x:c r="Q58" s="12" t="str"/>
      <x:c r="R58" s="12" t="str"/>
      <x:c r="S58" s="12" t="str"/>
    </x:row>
    <x:row r="59">
      <x:c r="A59" s="12" t="str">
        <x:v>EPIC-06</x:v>
      </x:c>
      <x:c r="B59" s="12" t="str">
        <x:v>Epic</x:v>
      </x:c>
      <x:c r="C59" s="12" t="str"/>
      <x:c r="D59" s="12" t="str">
        <x:v>RBAC &amp; Administration</x:v>
      </x:c>
      <x:c r="E59" s="12" t="str">
        <x:v>Must</x:v>
      </x:c>
      <x:c r="F59" s="12" t="str">
        <x:v>Full</x:v>
      </x:c>
      <x:c r="G59" s="12" t="str">
        <x:v>Backlog</x:v>
      </x:c>
      <x:c r="H59" s="12" t="str"/>
      <x:c r="I59" s="12" t="str">
        <x:v>Not Started</x:v>
      </x:c>
      <x:c r="J59" s="12" t="str">
        <x:v>N/A</x:v>
      </x:c>
      <x:c r="K59" s="12" t="str">
        <x:v>Not Started</x:v>
      </x:c>
      <x:c r="L59" s="12" t="str">
        <x:v>Pending</x:v>
      </x:c>
      <x:c r="M59" s="12" t="str">
        <x:v>Not Met</x:v>
      </x:c>
      <x:c r="N59" s="12" t="str">
        <x:v>Foundation baseline</x:v>
      </x:c>
      <x:c r="O59" s="12" t="str"/>
      <x:c r="P59" s="12" t="str">
        <x:v>Engineer</x:v>
      </x:c>
      <x:c r="Q59" s="12" t="str"/>
      <x:c r="R59" s="12" t="str"/>
      <x:c r="S59" s="12" t="str"/>
    </x:row>
    <x:row r="60">
      <x:c r="A60" s="12" t="str">
        <x:v>RBAC-F01</x:v>
      </x:c>
      <x:c r="B60" s="12" t="str">
        <x:v>Feature</x:v>
      </x:c>
      <x:c r="C60" s="12" t="str">
        <x:v>EPIC-06</x:v>
      </x:c>
      <x:c r="D60" s="12" t="str">
        <x:v>Role and permission model</x:v>
      </x:c>
      <x:c r="E60" s="12" t="str">
        <x:v>Must</x:v>
      </x:c>
      <x:c r="F60" s="12" t="str">
        <x:v>Full</x:v>
      </x:c>
      <x:c r="G60" s="12" t="str">
        <x:v>Backlog</x:v>
      </x:c>
      <x:c r="H60" s="12" t="str"/>
      <x:c r="I60" s="12" t="str">
        <x:v>Not Started</x:v>
      </x:c>
      <x:c r="J60" s="12" t="str">
        <x:v>Not Started</x:v>
      </x:c>
      <x:c r="K60" s="12" t="str">
        <x:v>Not Started</x:v>
      </x:c>
      <x:c r="L60" s="12" t="str">
        <x:v>Pending</x:v>
      </x:c>
      <x:c r="M60" s="12" t="str">
        <x:v>Not Met</x:v>
      </x:c>
      <x:c r="N60" s="12" t="str"/>
      <x:c r="O60" s="12" t="str"/>
      <x:c r="P60" s="12" t="str">
        <x:v>Engineer + Agent-assisted</x:v>
      </x:c>
      <x:c r="Q60" s="12" t="str"/>
      <x:c r="R60" s="12" t="str"/>
      <x:c r="S60" s="12" t="str"/>
    </x:row>
    <x:row r="61">
      <x:c r="A61" s="12" t="str">
        <x:v>RBAC-F02</x:v>
      </x:c>
      <x:c r="B61" s="12" t="str">
        <x:v>Feature</x:v>
      </x:c>
      <x:c r="C61" s="12" t="str">
        <x:v>EPIC-06</x:v>
      </x:c>
      <x:c r="D61" s="12" t="str">
        <x:v>User-to-role assignment</x:v>
      </x:c>
      <x:c r="E61" s="12" t="str">
        <x:v>Must</x:v>
      </x:c>
      <x:c r="F61" s="12" t="str">
        <x:v>Lean</x:v>
      </x:c>
      <x:c r="G61" s="12" t="str">
        <x:v>Backlog</x:v>
      </x:c>
      <x:c r="H61" s="12" t="str"/>
      <x:c r="I61" s="12" t="str">
        <x:v>Not Started</x:v>
      </x:c>
      <x:c r="J61" s="12" t="str">
        <x:v>N/A</x:v>
      </x:c>
      <x:c r="K61" s="12" t="str">
        <x:v>Not Started</x:v>
      </x:c>
      <x:c r="L61" s="12" t="str">
        <x:v>Pending</x:v>
      </x:c>
      <x:c r="M61" s="12" t="str">
        <x:v>Not Met</x:v>
      </x:c>
      <x:c r="N61" s="12" t="str"/>
      <x:c r="O61" s="12" t="str"/>
      <x:c r="P61" s="12" t="str">
        <x:v>Engineer + Agent-assisted</x:v>
      </x:c>
      <x:c r="Q61" s="12" t="str"/>
      <x:c r="R61" s="12" t="str"/>
      <x:c r="S61" s="12" t="str"/>
    </x:row>
    <x:row r="62">
      <x:c r="A62" s="12" t="str">
        <x:v>RBAC-F03</x:v>
      </x:c>
      <x:c r="B62" s="12" t="str">
        <x:v>Feature</x:v>
      </x:c>
      <x:c r="C62" s="12" t="str">
        <x:v>EPIC-06</x:v>
      </x:c>
      <x:c r="D62" s="12" t="str">
        <x:v>Permission-aware navigation and controls</x:v>
      </x:c>
      <x:c r="E62" s="12" t="str">
        <x:v>Must</x:v>
      </x:c>
      <x:c r="F62" s="12" t="str">
        <x:v>Lean</x:v>
      </x:c>
      <x:c r="G62" s="12" t="str">
        <x:v>Backlog</x:v>
      </x:c>
      <x:c r="H62" s="12" t="str"/>
      <x:c r="I62" s="12" t="str">
        <x:v>Not Started</x:v>
      </x:c>
      <x:c r="J62" s="12" t="str">
        <x:v>N/A</x:v>
      </x:c>
      <x:c r="K62" s="12" t="str">
        <x:v>Not Started</x:v>
      </x:c>
      <x:c r="L62" s="12" t="str">
        <x:v>Pending</x:v>
      </x:c>
      <x:c r="M62" s="12" t="str">
        <x:v>Not Met</x:v>
      </x:c>
      <x:c r="N62" s="12" t="str"/>
      <x:c r="O62" s="12" t="str"/>
      <x:c r="P62" s="12" t="str">
        <x:v>Engineer + Agent-assisted</x:v>
      </x:c>
      <x:c r="Q62" s="12" t="str"/>
      <x:c r="R62" s="12" t="str"/>
      <x:c r="S62" s="12" t="str"/>
    </x:row>
    <x:row r="63">
      <x:c r="A63" s="12" t="str">
        <x:v>RBAC-F04</x:v>
      </x:c>
      <x:c r="B63" s="12" t="str">
        <x:v>Feature</x:v>
      </x:c>
      <x:c r="C63" s="12" t="str">
        <x:v>EPIC-06</x:v>
      </x:c>
      <x:c r="D63" s="12" t="str">
        <x:v>Server-side authorization enforcement</x:v>
      </x:c>
      <x:c r="E63" s="12" t="str">
        <x:v>Must</x:v>
      </x:c>
      <x:c r="F63" s="12" t="str">
        <x:v>Full</x:v>
      </x:c>
      <x:c r="G63" s="12" t="str">
        <x:v>Backlog</x:v>
      </x:c>
      <x:c r="H63" s="12" t="str"/>
      <x:c r="I63" s="12" t="str">
        <x:v>Not Started</x:v>
      </x:c>
      <x:c r="J63" s="12" t="str">
        <x:v>Not Started</x:v>
      </x:c>
      <x:c r="K63" s="12" t="str">
        <x:v>Not Started</x:v>
      </x:c>
      <x:c r="L63" s="12" t="str">
        <x:v>Pending</x:v>
      </x:c>
      <x:c r="M63" s="12" t="str">
        <x:v>Not Met</x:v>
      </x:c>
      <x:c r="N63" s="12" t="str"/>
      <x:c r="O63" s="12" t="str"/>
      <x:c r="P63" s="12" t="str">
        <x:v>Engineer + Agent-assisted</x:v>
      </x:c>
      <x:c r="Q63" s="12" t="str"/>
      <x:c r="R63" s="12" t="str"/>
      <x:c r="S63" s="12" t="str"/>
    </x:row>
    <x:row r="64">
      <x:c r="A64" s="12" t="str">
        <x:v>RBAC-F05</x:v>
      </x:c>
      <x:c r="B64" s="12" t="str">
        <x:v>Feature</x:v>
      </x:c>
      <x:c r="C64" s="12" t="str">
        <x:v>EPIC-06</x:v>
      </x:c>
      <x:c r="D64" s="12" t="str">
        <x:v>Authorization test matrix and admin audit</x:v>
      </x:c>
      <x:c r="E64" s="12" t="str">
        <x:v>Must</x:v>
      </x:c>
      <x:c r="F64" s="12" t="str">
        <x:v>Lean</x:v>
      </x:c>
      <x:c r="G64" s="12" t="str">
        <x:v>Backlog</x:v>
      </x:c>
      <x:c r="H64" s="12" t="str"/>
      <x:c r="I64" s="12" t="str">
        <x:v>Not Started</x:v>
      </x:c>
      <x:c r="J64" s="12" t="str">
        <x:v>N/A</x:v>
      </x:c>
      <x:c r="K64" s="12" t="str">
        <x:v>Not Started</x:v>
      </x:c>
      <x:c r="L64" s="12" t="str">
        <x:v>Pending</x:v>
      </x:c>
      <x:c r="M64" s="12" t="str">
        <x:v>Not Met</x:v>
      </x:c>
      <x:c r="N64" s="12" t="str"/>
      <x:c r="O64" s="12" t="str"/>
      <x:c r="P64" s="12" t="str">
        <x:v>Engineer + Agent-assisted</x:v>
      </x:c>
      <x:c r="Q64" s="12" t="str"/>
      <x:c r="R64" s="12" t="str"/>
      <x:c r="S64" s="12" t="str"/>
    </x:row>
    <x:row r="65">
      <x:c r="A65" s="12" t="str">
        <x:v>EPIC-07</x:v>
      </x:c>
      <x:c r="B65" s="12" t="str">
        <x:v>Epic</x:v>
      </x:c>
      <x:c r="C65" s="12" t="str"/>
      <x:c r="D65" s="12" t="str">
        <x:v>Audit &amp; Activity History</x:v>
      </x:c>
      <x:c r="E65" s="12" t="str">
        <x:v>Must</x:v>
      </x:c>
      <x:c r="F65" s="12" t="str">
        <x:v>Full</x:v>
      </x:c>
      <x:c r="G65" s="12" t="str">
        <x:v>Backlog</x:v>
      </x:c>
      <x:c r="H65" s="12" t="str"/>
      <x:c r="I65" s="12" t="str">
        <x:v>Not Started</x:v>
      </x:c>
      <x:c r="J65" s="12" t="str">
        <x:v>N/A</x:v>
      </x:c>
      <x:c r="K65" s="12" t="str">
        <x:v>Not Started</x:v>
      </x:c>
      <x:c r="L65" s="12" t="str">
        <x:v>Pending</x:v>
      </x:c>
      <x:c r="M65" s="12" t="str">
        <x:v>Not Met</x:v>
      </x:c>
      <x:c r="N65" s="12" t="str">
        <x:v>Foundation baseline</x:v>
      </x:c>
      <x:c r="O65" s="12" t="str"/>
      <x:c r="P65" s="12" t="str">
        <x:v>Engineer</x:v>
      </x:c>
      <x:c r="Q65" s="12" t="str"/>
      <x:c r="R65" s="12" t="str"/>
      <x:c r="S65" s="12" t="str"/>
    </x:row>
    <x:row r="66">
      <x:c r="A66" s="12" t="str">
        <x:v>AUD-F01</x:v>
      </x:c>
      <x:c r="B66" s="12" t="str">
        <x:v>Feature</x:v>
      </x:c>
      <x:c r="C66" s="12" t="str">
        <x:v>EPIC-07</x:v>
      </x:c>
      <x:c r="D66" s="12" t="str">
        <x:v>Global audit-event list</x:v>
      </x:c>
      <x:c r="E66" s="12" t="str">
        <x:v>Must</x:v>
      </x:c>
      <x:c r="F66" s="12" t="str">
        <x:v>Lean</x:v>
      </x:c>
      <x:c r="G66" s="12" t="str">
        <x:v>Backlog</x:v>
      </x:c>
      <x:c r="H66" s="12" t="str"/>
      <x:c r="I66" s="12" t="str">
        <x:v>Not Started</x:v>
      </x:c>
      <x:c r="J66" s="12" t="str">
        <x:v>N/A</x:v>
      </x:c>
      <x:c r="K66" s="12" t="str">
        <x:v>Not Started</x:v>
      </x:c>
      <x:c r="L66" s="12" t="str">
        <x:v>Pending</x:v>
      </x:c>
      <x:c r="M66" s="12" t="str">
        <x:v>Not Met</x:v>
      </x:c>
      <x:c r="N66" s="12" t="str"/>
      <x:c r="O66" s="12" t="str"/>
      <x:c r="P66" s="12" t="str">
        <x:v>Engineer + Agent-assisted</x:v>
      </x:c>
      <x:c r="Q66" s="12" t="str"/>
      <x:c r="R66" s="12" t="str"/>
      <x:c r="S66" s="12" t="str"/>
    </x:row>
    <x:row r="67">
      <x:c r="A67" s="12" t="str">
        <x:v>AUD-F02</x:v>
      </x:c>
      <x:c r="B67" s="12" t="str">
        <x:v>Feature</x:v>
      </x:c>
      <x:c r="C67" s="12" t="str">
        <x:v>EPIC-07</x:v>
      </x:c>
      <x:c r="D67" s="12" t="str">
        <x:v>Filter and search audit records</x:v>
      </x:c>
      <x:c r="E67" s="12" t="str">
        <x:v>Must</x:v>
      </x:c>
      <x:c r="F67" s="12" t="str">
        <x:v>Lean</x:v>
      </x:c>
      <x:c r="G67" s="12" t="str">
        <x:v>Backlog</x:v>
      </x:c>
      <x:c r="H67" s="12" t="str"/>
      <x:c r="I67" s="12" t="str">
        <x:v>Not Started</x:v>
      </x:c>
      <x:c r="J67" s="12" t="str">
        <x:v>N/A</x:v>
      </x:c>
      <x:c r="K67" s="12" t="str">
        <x:v>Not Started</x:v>
      </x:c>
      <x:c r="L67" s="12" t="str">
        <x:v>Pending</x:v>
      </x:c>
      <x:c r="M67" s="12" t="str">
        <x:v>Not Met</x:v>
      </x:c>
      <x:c r="N67" s="12" t="str"/>
      <x:c r="O67" s="12" t="str"/>
      <x:c r="P67" s="12" t="str">
        <x:v>Engineer + Agent-assisted</x:v>
      </x:c>
      <x:c r="Q67" s="12" t="str"/>
      <x:c r="R67" s="12" t="str"/>
      <x:c r="S67" s="12" t="str"/>
    </x:row>
    <x:row r="68">
      <x:c r="A68" s="12" t="str">
        <x:v>AUD-F03</x:v>
      </x:c>
      <x:c r="B68" s="12" t="str">
        <x:v>Feature</x:v>
      </x:c>
      <x:c r="C68" s="12" t="str">
        <x:v>EPIC-07</x:v>
      </x:c>
      <x:c r="D68" s="12" t="str">
        <x:v>Entity activity timelines</x:v>
      </x:c>
      <x:c r="E68" s="12" t="str">
        <x:v>Must</x:v>
      </x:c>
      <x:c r="F68" s="12" t="str">
        <x:v>Lean</x:v>
      </x:c>
      <x:c r="G68" s="12" t="str">
        <x:v>Backlog</x:v>
      </x:c>
      <x:c r="H68" s="12" t="str"/>
      <x:c r="I68" s="12" t="str">
        <x:v>Not Started</x:v>
      </x:c>
      <x:c r="J68" s="12" t="str">
        <x:v>N/A</x:v>
      </x:c>
      <x:c r="K68" s="12" t="str">
        <x:v>Not Started</x:v>
      </x:c>
      <x:c r="L68" s="12" t="str">
        <x:v>Pending</x:v>
      </x:c>
      <x:c r="M68" s="12" t="str">
        <x:v>Not Met</x:v>
      </x:c>
      <x:c r="N68" s="12" t="str"/>
      <x:c r="O68" s="12" t="str"/>
      <x:c r="P68" s="12" t="str">
        <x:v>Engineer + Agent-assisted</x:v>
      </x:c>
      <x:c r="Q68" s="12" t="str"/>
      <x:c r="R68" s="12" t="str"/>
      <x:c r="S68" s="12" t="str"/>
    </x:row>
    <x:row r="69">
      <x:c r="A69" s="12" t="str">
        <x:v>AUD-F04</x:v>
      </x:c>
      <x:c r="B69" s="12" t="str">
        <x:v>Feature</x:v>
      </x:c>
      <x:c r="C69" s="12" t="str">
        <x:v>EPIC-07</x:v>
      </x:c>
      <x:c r="D69" s="12" t="str">
        <x:v>Before/after change metadata</x:v>
      </x:c>
      <x:c r="E69" s="12" t="str">
        <x:v>Should</x:v>
      </x:c>
      <x:c r="F69" s="12" t="str">
        <x:v>Full</x:v>
      </x:c>
      <x:c r="G69" s="12" t="str">
        <x:v>Backlog</x:v>
      </x:c>
      <x:c r="H69" s="12" t="str"/>
      <x:c r="I69" s="12" t="str">
        <x:v>Not Started</x:v>
      </x:c>
      <x:c r="J69" s="12" t="str">
        <x:v>Not Started</x:v>
      </x:c>
      <x:c r="K69" s="12" t="str">
        <x:v>Not Started</x:v>
      </x:c>
      <x:c r="L69" s="12" t="str">
        <x:v>Pending</x:v>
      </x:c>
      <x:c r="M69" s="12" t="str">
        <x:v>Not Met</x:v>
      </x:c>
      <x:c r="N69" s="12" t="str"/>
      <x:c r="O69" s="12" t="str"/>
      <x:c r="P69" s="12" t="str">
        <x:v>Engineer + Agent-assisted</x:v>
      </x:c>
      <x:c r="Q69" s="12" t="str"/>
      <x:c r="R69" s="12" t="str"/>
      <x:c r="S69" s="12" t="str"/>
    </x:row>
    <x:row r="70">
      <x:c r="A70" s="12" t="str">
        <x:v>AUD-F05</x:v>
      </x:c>
      <x:c r="B70" s="12" t="str">
        <x:v>Feature</x:v>
      </x:c>
      <x:c r="C70" s="12" t="str">
        <x:v>EPIC-07</x:v>
      </x:c>
      <x:c r="D70" s="12" t="str">
        <x:v>Request/correlation traceability</x:v>
      </x:c>
      <x:c r="E70" s="12" t="str">
        <x:v>Must</x:v>
      </x:c>
      <x:c r="F70" s="12" t="str">
        <x:v>Full</x:v>
      </x:c>
      <x:c r="G70" s="12" t="str">
        <x:v>Backlog</x:v>
      </x:c>
      <x:c r="H70" s="12" t="str"/>
      <x:c r="I70" s="12" t="str">
        <x:v>Not Started</x:v>
      </x:c>
      <x:c r="J70" s="12" t="str">
        <x:v>Not Started</x:v>
      </x:c>
      <x:c r="K70" s="12" t="str">
        <x:v>Not Started</x:v>
      </x:c>
      <x:c r="L70" s="12" t="str">
        <x:v>Pending</x:v>
      </x:c>
      <x:c r="M70" s="12" t="str">
        <x:v>Not Met</x:v>
      </x:c>
      <x:c r="N70" s="12" t="str"/>
      <x:c r="O70" s="12" t="str"/>
      <x:c r="P70" s="12" t="str">
        <x:v>Engineer + Agent-assisted</x:v>
      </x:c>
      <x:c r="Q70" s="12" t="str"/>
      <x:c r="R70" s="12" t="str"/>
      <x:c r="S70" s="12" t="str"/>
    </x:row>
    <x:row r="71">
      <x:c r="A71" s="12" t="str">
        <x:v>EPIC-08</x:v>
      </x:c>
      <x:c r="B71" s="12" t="str">
        <x:v>Epic</x:v>
      </x:c>
      <x:c r="C71" s="12" t="str"/>
      <x:c r="D71" s="12" t="str">
        <x:v>Operations Dashboard</x:v>
      </x:c>
      <x:c r="E71" s="12" t="str">
        <x:v>Must</x:v>
      </x:c>
      <x:c r="F71" s="12" t="str">
        <x:v>Full</x:v>
      </x:c>
      <x:c r="G71" s="12" t="str">
        <x:v>Backlog</x:v>
      </x:c>
      <x:c r="H71" s="12" t="str"/>
      <x:c r="I71" s="12" t="str">
        <x:v>Not Started</x:v>
      </x:c>
      <x:c r="J71" s="12" t="str">
        <x:v>N/A</x:v>
      </x:c>
      <x:c r="K71" s="12" t="str">
        <x:v>Not Started</x:v>
      </x:c>
      <x:c r="L71" s="12" t="str">
        <x:v>Pending</x:v>
      </x:c>
      <x:c r="M71" s="12" t="str">
        <x:v>Not Met</x:v>
      </x:c>
      <x:c r="N71" s="12" t="str">
        <x:v>Foundation baseline</x:v>
      </x:c>
      <x:c r="O71" s="12" t="str"/>
      <x:c r="P71" s="12" t="str">
        <x:v>Engineer</x:v>
      </x:c>
      <x:c r="Q71" s="12" t="str"/>
      <x:c r="R71" s="12" t="str"/>
      <x:c r="S71" s="12" t="str"/>
    </x:row>
    <x:row r="72">
      <x:c r="A72" s="12" t="str">
        <x:v>DASH-F01</x:v>
      </x:c>
      <x:c r="B72" s="12" t="str">
        <x:v>Feature</x:v>
      </x:c>
      <x:c r="C72" s="12" t="str">
        <x:v>EPIC-08</x:v>
      </x:c>
      <x:c r="D72" s="12" t="str">
        <x:v>Operational KPI cards</x:v>
      </x:c>
      <x:c r="E72" s="12" t="str">
        <x:v>Must</x:v>
      </x:c>
      <x:c r="F72" s="12" t="str">
        <x:v>Lean</x:v>
      </x:c>
      <x:c r="G72" s="12" t="str">
        <x:v>Backlog</x:v>
      </x:c>
      <x:c r="H72" s="12" t="str"/>
      <x:c r="I72" s="12" t="str">
        <x:v>Not Started</x:v>
      </x:c>
      <x:c r="J72" s="12" t="str">
        <x:v>N/A</x:v>
      </x:c>
      <x:c r="K72" s="12" t="str">
        <x:v>Not Started</x:v>
      </x:c>
      <x:c r="L72" s="12" t="str">
        <x:v>Pending</x:v>
      </x:c>
      <x:c r="M72" s="12" t="str">
        <x:v>Not Met</x:v>
      </x:c>
      <x:c r="N72" s="12" t="str"/>
      <x:c r="O72" s="12" t="str"/>
      <x:c r="P72" s="12" t="str">
        <x:v>Engineer + Agent-assisted</x:v>
      </x:c>
      <x:c r="Q72" s="12" t="str"/>
      <x:c r="R72" s="12" t="str"/>
      <x:c r="S72" s="12" t="str"/>
    </x:row>
    <x:row r="73">
      <x:c r="A73" s="12" t="str">
        <x:v>DASH-F02</x:v>
      </x:c>
      <x:c r="B73" s="12" t="str">
        <x:v>Feature</x:v>
      </x:c>
      <x:c r="C73" s="12" t="str">
        <x:v>EPIC-08</x:v>
      </x:c>
      <x:c r="D73" s="12" t="str">
        <x:v>Low-stock work queue</x:v>
      </x:c>
      <x:c r="E73" s="12" t="str">
        <x:v>Must</x:v>
      </x:c>
      <x:c r="F73" s="12" t="str">
        <x:v>Lean</x:v>
      </x:c>
      <x:c r="G73" s="12" t="str">
        <x:v>Backlog</x:v>
      </x:c>
      <x:c r="H73" s="12" t="str"/>
      <x:c r="I73" s="12" t="str">
        <x:v>Not Started</x:v>
      </x:c>
      <x:c r="J73" s="12" t="str">
        <x:v>N/A</x:v>
      </x:c>
      <x:c r="K73" s="12" t="str">
        <x:v>Not Started</x:v>
      </x:c>
      <x:c r="L73" s="12" t="str">
        <x:v>Pending</x:v>
      </x:c>
      <x:c r="M73" s="12" t="str">
        <x:v>Not Met</x:v>
      </x:c>
      <x:c r="N73" s="12" t="str"/>
      <x:c r="O73" s="12" t="str"/>
      <x:c r="P73" s="12" t="str">
        <x:v>Engineer + Agent-assisted</x:v>
      </x:c>
      <x:c r="Q73" s="12" t="str"/>
      <x:c r="R73" s="12" t="str"/>
      <x:c r="S73" s="12" t="str"/>
    </x:row>
    <x:row r="74">
      <x:c r="A74" s="12" t="str">
        <x:v>DASH-F03</x:v>
      </x:c>
      <x:c r="B74" s="12" t="str">
        <x:v>Feature</x:v>
      </x:c>
      <x:c r="C74" s="12" t="str">
        <x:v>EPIC-08</x:v>
      </x:c>
      <x:c r="D74" s="12" t="str">
        <x:v>Pending order/fulfilment work queue</x:v>
      </x:c>
      <x:c r="E74" s="12" t="str">
        <x:v>Must</x:v>
      </x:c>
      <x:c r="F74" s="12" t="str">
        <x:v>Lean</x:v>
      </x:c>
      <x:c r="G74" s="12" t="str">
        <x:v>Backlog</x:v>
      </x:c>
      <x:c r="H74" s="12" t="str"/>
      <x:c r="I74" s="12" t="str">
        <x:v>Not Started</x:v>
      </x:c>
      <x:c r="J74" s="12" t="str">
        <x:v>N/A</x:v>
      </x:c>
      <x:c r="K74" s="12" t="str">
        <x:v>Not Started</x:v>
      </x:c>
      <x:c r="L74" s="12" t="str">
        <x:v>Pending</x:v>
      </x:c>
      <x:c r="M74" s="12" t="str">
        <x:v>Not Met</x:v>
      </x:c>
      <x:c r="N74" s="12" t="str"/>
      <x:c r="O74" s="12" t="str"/>
      <x:c r="P74" s="12" t="str">
        <x:v>Engineer + Agent-assisted</x:v>
      </x:c>
      <x:c r="Q74" s="12" t="str"/>
      <x:c r="R74" s="12" t="str"/>
      <x:c r="S74" s="12" t="str"/>
    </x:row>
    <x:row r="75">
      <x:c r="A75" s="12" t="str">
        <x:v>DASH-F04</x:v>
      </x:c>
      <x:c r="B75" s="12" t="str">
        <x:v>Feature</x:v>
      </x:c>
      <x:c r="C75" s="12" t="str">
        <x:v>EPIC-08</x:v>
      </x:c>
      <x:c r="D75" s="12" t="str">
        <x:v>Recent operational activity</x:v>
      </x:c>
      <x:c r="E75" s="12" t="str">
        <x:v>Should</x:v>
      </x:c>
      <x:c r="F75" s="12" t="str">
        <x:v>Lean</x:v>
      </x:c>
      <x:c r="G75" s="12" t="str">
        <x:v>Backlog</x:v>
      </x:c>
      <x:c r="H75" s="12" t="str"/>
      <x:c r="I75" s="12" t="str">
        <x:v>Not Started</x:v>
      </x:c>
      <x:c r="J75" s="12" t="str">
        <x:v>N/A</x:v>
      </x:c>
      <x:c r="K75" s="12" t="str">
        <x:v>Not Started</x:v>
      </x:c>
      <x:c r="L75" s="12" t="str">
        <x:v>Pending</x:v>
      </x:c>
      <x:c r="M75" s="12" t="str">
        <x:v>Not Met</x:v>
      </x:c>
      <x:c r="N75" s="12" t="str"/>
      <x:c r="O75" s="12" t="str"/>
      <x:c r="P75" s="12" t="str">
        <x:v>Engineer + Agent-assisted</x:v>
      </x:c>
      <x:c r="Q75" s="12" t="str"/>
      <x:c r="R75" s="12" t="str"/>
      <x:c r="S75" s="12" t="str"/>
    </x:row>
    <x:row r="76">
      <x:c r="A76" s="12" t="str">
        <x:v>DASH-F05</x:v>
      </x:c>
      <x:c r="B76" s="12" t="str">
        <x:v>Feature</x:v>
      </x:c>
      <x:c r="C76" s="12" t="str">
        <x:v>EPIC-08</x:v>
      </x:c>
      <x:c r="D76" s="12" t="str">
        <x:v>Role-aware dashboard composition</x:v>
      </x:c>
      <x:c r="E76" s="12" t="str">
        <x:v>Must</x:v>
      </x:c>
      <x:c r="F76" s="12" t="str">
        <x:v>Lean</x:v>
      </x:c>
      <x:c r="G76" s="12" t="str">
        <x:v>Backlog</x:v>
      </x:c>
      <x:c r="H76" s="12" t="str"/>
      <x:c r="I76" s="12" t="str">
        <x:v>Not Started</x:v>
      </x:c>
      <x:c r="J76" s="12" t="str">
        <x:v>N/A</x:v>
      </x:c>
      <x:c r="K76" s="12" t="str">
        <x:v>Not Started</x:v>
      </x:c>
      <x:c r="L76" s="12" t="str">
        <x:v>Pending</x:v>
      </x:c>
      <x:c r="M76" s="12" t="str">
        <x:v>Not Met</x:v>
      </x:c>
      <x:c r="N76" s="12" t="str"/>
      <x:c r="O76" s="12" t="str"/>
      <x:c r="P76" s="12" t="str">
        <x:v>Engineer + Agent-assisted</x:v>
      </x:c>
      <x:c r="Q76" s="12" t="str"/>
      <x:c r="R76" s="12" t="str"/>
      <x:c r="S76" s="12" t="str"/>
    </x:row>
    <x:row r="77">
      <x:c r="A77" t="str">
        <x:v>BOOT-001</x:v>
      </x:c>
      <x:c r="B77" t="str">
        <x:v>Task</x:v>
      </x:c>
      <x:c r="C77" t="str">
        <x:v>FOUNDATION</x:v>
      </x:c>
      <x:c r="D77" t="str">
        <x:v>Repository scaffold</x:v>
      </x:c>
      <x:c r="E77" t="str">
        <x:v>Must</x:v>
      </x:c>
      <x:c r="F77" t="str">
        <x:v>Lean</x:v>
      </x:c>
      <x:c r="G77" t="str">
        <x:v>Approved</x:v>
      </x:c>
      <x:c r="H77" t="str">
        <x:v>v1.0</x:v>
      </x:c>
      <x:c r="I77" t="str">
        <x:v>Not Started</x:v>
      </x:c>
      <x:c r="J77" t="str">
        <x:v>N/A</x:v>
      </x:c>
      <x:c r="K77" t="str">
        <x:v>Not Started</x:v>
      </x:c>
      <x:c r="L77" t="str">
        <x:v>Approved</x:v>
      </x:c>
      <x:c r="M77" t="str">
        <x:v>Not Met</x:v>
      </x:c>
      <x:c r="N77" t="str"/>
      <x:c r="O77" t="str"/>
      <x:c r="P77" t="str">
        <x:v>Engineer + Agent-assisted</x:v>
      </x:c>
      <x:c r="Q77" t="str"/>
      <x:c r="R77" t="str"/>
      <x:c r="S77" t="str">
        <x:v>Phase 0 bootstrap</x:v>
      </x:c>
    </x:row>
    <x:row r="78">
      <x:c r="A78" t="str">
        <x:v>BOOT-002</x:v>
      </x:c>
      <x:c r="B78" t="str">
        <x:v>Task</x:v>
      </x:c>
      <x:c r="C78" t="str">
        <x:v>FOUNDATION</x:v>
      </x:c>
      <x:c r="D78" t="str">
        <x:v>Web application baseline</x:v>
      </x:c>
      <x:c r="E78" t="str">
        <x:v>Must</x:v>
      </x:c>
      <x:c r="F78" t="str">
        <x:v>Lean</x:v>
      </x:c>
      <x:c r="G78" t="str">
        <x:v>Approved</x:v>
      </x:c>
      <x:c r="H78" t="str">
        <x:v>v1.0</x:v>
      </x:c>
      <x:c r="I78" t="str">
        <x:v>Not Started</x:v>
      </x:c>
      <x:c r="J78" t="str">
        <x:v>N/A</x:v>
      </x:c>
      <x:c r="K78" t="str">
        <x:v>Not Started</x:v>
      </x:c>
      <x:c r="L78" t="str">
        <x:v>Approved</x:v>
      </x:c>
      <x:c r="M78" t="str">
        <x:v>Not Met</x:v>
      </x:c>
      <x:c r="N78" t="str">
        <x:v>BOOT-001</x:v>
      </x:c>
      <x:c r="O78" t="str"/>
      <x:c r="P78" t="str">
        <x:v>Engineer + Agent-assisted</x:v>
      </x:c>
      <x:c r="Q78" t="str"/>
      <x:c r="R78" t="str"/>
      <x:c r="S78" t="str">
        <x:v>Phase 0 bootstrap</x:v>
      </x:c>
    </x:row>
    <x:row r="79">
      <x:c r="A79" t="str">
        <x:v>BOOT-003</x:v>
      </x:c>
      <x:c r="B79" t="str">
        <x:v>Task</x:v>
      </x:c>
      <x:c r="C79" t="str">
        <x:v>FOUNDATION</x:v>
      </x:c>
      <x:c r="D79" t="str">
        <x:v>API baseline</x:v>
      </x:c>
      <x:c r="E79" t="str">
        <x:v>Must</x:v>
      </x:c>
      <x:c r="F79" t="str">
        <x:v>Lean</x:v>
      </x:c>
      <x:c r="G79" t="str">
        <x:v>Approved</x:v>
      </x:c>
      <x:c r="H79" t="str">
        <x:v>v1.0</x:v>
      </x:c>
      <x:c r="I79" t="str">
        <x:v>Not Started</x:v>
      </x:c>
      <x:c r="J79" t="str">
        <x:v>N/A</x:v>
      </x:c>
      <x:c r="K79" t="str">
        <x:v>Not Started</x:v>
      </x:c>
      <x:c r="L79" t="str">
        <x:v>Approved</x:v>
      </x:c>
      <x:c r="M79" t="str">
        <x:v>Not Met</x:v>
      </x:c>
      <x:c r="N79" t="str">
        <x:v>BOOT-001</x:v>
      </x:c>
      <x:c r="O79" t="str"/>
      <x:c r="P79" t="str">
        <x:v>Engineer + Agent-assisted</x:v>
      </x:c>
      <x:c r="Q79" t="str"/>
      <x:c r="R79" t="str"/>
      <x:c r="S79" t="str">
        <x:v>Phase 0 bootstrap</x:v>
      </x:c>
    </x:row>
    <x:row r="80">
      <x:c r="A80" t="str">
        <x:v>BOOT-004</x:v>
      </x:c>
      <x:c r="B80" t="str">
        <x:v>Task</x:v>
      </x:c>
      <x:c r="C80" t="str">
        <x:v>FOUNDATION</x:v>
      </x:c>
      <x:c r="D80" t="str">
        <x:v>Database baseline</x:v>
      </x:c>
      <x:c r="E80" t="str">
        <x:v>Must</x:v>
      </x:c>
      <x:c r="F80" t="str">
        <x:v>Lean</x:v>
      </x:c>
      <x:c r="G80" t="str">
        <x:v>Approved</x:v>
      </x:c>
      <x:c r="H80" t="str">
        <x:v>v1.0</x:v>
      </x:c>
      <x:c r="I80" t="str">
        <x:v>Not Started</x:v>
      </x:c>
      <x:c r="J80" t="str">
        <x:v>N/A</x:v>
      </x:c>
      <x:c r="K80" t="str">
        <x:v>Not Started</x:v>
      </x:c>
      <x:c r="L80" t="str">
        <x:v>Approved</x:v>
      </x:c>
      <x:c r="M80" t="str">
        <x:v>Not Met</x:v>
      </x:c>
      <x:c r="N80" t="str">
        <x:v>BOOT-001; BOOT-003</x:v>
      </x:c>
      <x:c r="O80" t="str"/>
      <x:c r="P80" t="str">
        <x:v>Engineer + Agent-assisted</x:v>
      </x:c>
      <x:c r="Q80" t="str"/>
      <x:c r="R80" t="str"/>
      <x:c r="S80" t="str">
        <x:v>Phase 0 bootstrap</x:v>
      </x:c>
    </x:row>
    <x:row r="81">
      <x:c r="A81" t="str">
        <x:v>BOOT-005</x:v>
      </x:c>
      <x:c r="B81" t="str">
        <x:v>Task</x:v>
      </x:c>
      <x:c r="C81" t="str">
        <x:v>FOUNDATION</x:v>
      </x:c>
      <x:c r="D81" t="str">
        <x:v>Authentication development baseline</x:v>
      </x:c>
      <x:c r="E81" t="str">
        <x:v>Must</x:v>
      </x:c>
      <x:c r="F81" t="str">
        <x:v>Lean</x:v>
      </x:c>
      <x:c r="G81" t="str">
        <x:v>Approved</x:v>
      </x:c>
      <x:c r="H81" t="str">
        <x:v>v1.0</x:v>
      </x:c>
      <x:c r="I81" t="str">
        <x:v>Not Started</x:v>
      </x:c>
      <x:c r="J81" t="str">
        <x:v>N/A</x:v>
      </x:c>
      <x:c r="K81" t="str">
        <x:v>Not Started</x:v>
      </x:c>
      <x:c r="L81" t="str">
        <x:v>Approved</x:v>
      </x:c>
      <x:c r="M81" t="str">
        <x:v>Not Met</x:v>
      </x:c>
      <x:c r="N81" t="str">
        <x:v>BOOT-002; BOOT-003; BOOT-004</x:v>
      </x:c>
      <x:c r="O81" t="str"/>
      <x:c r="P81" t="str">
        <x:v>Engineer + Agent-assisted</x:v>
      </x:c>
      <x:c r="Q81" t="str"/>
      <x:c r="R81" t="str"/>
      <x:c r="S81" t="str">
        <x:v>Seed/dev auth sufficient for RBAC first slice</x:v>
      </x:c>
    </x:row>
    <x:row r="82">
      <x:c r="A82" t="str">
        <x:v>BOOT-006</x:v>
      </x:c>
      <x:c r="B82" t="str">
        <x:v>Task</x:v>
      </x:c>
      <x:c r="C82" t="str">
        <x:v>FOUNDATION</x:v>
      </x:c>
      <x:c r="D82" t="str">
        <x:v>Quality baseline</x:v>
      </x:c>
      <x:c r="E82" t="str">
        <x:v>Must</x:v>
      </x:c>
      <x:c r="F82" t="str">
        <x:v>Lean</x:v>
      </x:c>
      <x:c r="G82" t="str">
        <x:v>Approved</x:v>
      </x:c>
      <x:c r="H82" t="str">
        <x:v>v1.0</x:v>
      </x:c>
      <x:c r="I82" t="str">
        <x:v>Not Started</x:v>
      </x:c>
      <x:c r="J82" t="str">
        <x:v>N/A</x:v>
      </x:c>
      <x:c r="K82" t="str">
        <x:v>Not Started</x:v>
      </x:c>
      <x:c r="L82" t="str">
        <x:v>Approved</x:v>
      </x:c>
      <x:c r="M82" t="str">
        <x:v>Not Met</x:v>
      </x:c>
      <x:c r="N82" t="str">
        <x:v>BOOT-001; BOOT-002; BOOT-003</x:v>
      </x:c>
      <x:c r="O82" t="str"/>
      <x:c r="P82" t="str">
        <x:v>Engineer + Agent-assisted</x:v>
      </x:c>
      <x:c r="Q82" t="str"/>
      <x:c r="R82" t="str"/>
      <x:c r="S82" t="str">
        <x:v>Vitest/RTL/API tests/Playwright</x:v>
      </x:c>
    </x:row>
    <x:row r="83">
      <x:c r="A83" t="str">
        <x:v>BOOT-007</x:v>
      </x:c>
      <x:c r="B83" t="str">
        <x:v>Task</x:v>
      </x:c>
      <x:c r="C83" t="str">
        <x:v>FOUNDATION</x:v>
      </x:c>
      <x:c r="D83" t="str">
        <x:v>CI baseline</x:v>
      </x:c>
      <x:c r="E83" t="str">
        <x:v>Must</x:v>
      </x:c>
      <x:c r="F83" t="str">
        <x:v>Lean</x:v>
      </x:c>
      <x:c r="G83" t="str">
        <x:v>Approved</x:v>
      </x:c>
      <x:c r="H83" t="str">
        <x:v>v1.0</x:v>
      </x:c>
      <x:c r="I83" t="str">
        <x:v>Not Started</x:v>
      </x:c>
      <x:c r="J83" t="str">
        <x:v>N/A</x:v>
      </x:c>
      <x:c r="K83" t="str">
        <x:v>Not Started</x:v>
      </x:c>
      <x:c r="L83" t="str">
        <x:v>Approved</x:v>
      </x:c>
      <x:c r="M83" t="str">
        <x:v>Not Met</x:v>
      </x:c>
      <x:c r="N83" t="str">
        <x:v>BOOT-006</x:v>
      </x:c>
      <x:c r="O83" t="str"/>
      <x:c r="P83" t="str">
        <x:v>Engineer + Agent-assisted</x:v>
      </x:c>
      <x:c r="Q83" t="str"/>
      <x:c r="R83" t="str"/>
      <x:c r="S83" t="str">
        <x:v>GitHub Actions quality pipeline</x:v>
      </x:c>
    </x:row>
    <x:row r="84">
      <x:c r="A84" t="str">
        <x:v>BOOT-008</x:v>
      </x:c>
      <x:c r="B84" t="str">
        <x:v>Task</x:v>
      </x:c>
      <x:c r="C84" t="str">
        <x:v>FOUNDATION</x:v>
      </x:c>
      <x:c r="D84" t="str">
        <x:v>Documentation baseline</x:v>
      </x:c>
      <x:c r="E84" t="str">
        <x:v>Must</x:v>
      </x:c>
      <x:c r="F84" t="str">
        <x:v>Lean</x:v>
      </x:c>
      <x:c r="G84" t="str">
        <x:v>Approved</x:v>
      </x:c>
      <x:c r="H84" t="str">
        <x:v>v1.0</x:v>
      </x:c>
      <x:c r="I84" t="str">
        <x:v>Not Started</x:v>
      </x:c>
      <x:c r="J84" t="str">
        <x:v>N/A</x:v>
      </x:c>
      <x:c r="K84" t="str">
        <x:v>Not Started</x:v>
      </x:c>
      <x:c r="L84" t="str">
        <x:v>Approved</x:v>
      </x:c>
      <x:c r="M84" t="str">
        <x:v>Not Met</x:v>
      </x:c>
      <x:c r="N84" t="str">
        <x:v>BOOT-001..007</x:v>
      </x:c>
      <x:c r="O84" t="str"/>
      <x:c r="P84" t="str">
        <x:v>Engineer + Agent-assisted</x:v>
      </x:c>
      <x:c r="Q84" t="str"/>
      <x:c r="R84" t="str"/>
      <x:c r="S84" t="str">
        <x:v>README, env example, run instructions</x:v>
      </x:c>
    </x:row>
    <x:row r="85">
      <x:c r="A85" t="str">
        <x:v>INV-US001</x:v>
      </x:c>
      <x:c r="B85" t="str">
        <x:v>Story</x:v>
      </x:c>
      <x:c r="C85" t="str">
        <x:v>INV-F03</x:v>
      </x:c>
      <x:c r="D85" t="str">
        <x:v>View adjustment context</x:v>
      </x:c>
      <x:c r="E85" t="str">
        <x:v>Must</x:v>
      </x:c>
      <x:c r="F85" t="str">
        <x:v>Story-only</x:v>
      </x:c>
      <x:c r="G85" t="str">
        <x:v>Approved</x:v>
      </x:c>
      <x:c r="H85" t="str">
        <x:v>v1.0</x:v>
      </x:c>
      <x:c r="I85" t="str">
        <x:v>Not Started</x:v>
      </x:c>
      <x:c r="J85" t="str">
        <x:v>N/A</x:v>
      </x:c>
      <x:c r="K85" t="str">
        <x:v>Not Started</x:v>
      </x:c>
      <x:c r="L85" t="str">
        <x:v>Approved</x:v>
      </x:c>
      <x:c r="M85" t="str">
        <x:v>Not Met</x:v>
      </x:c>
      <x:c r="N85" t="str">
        <x:v>BOOT-001..008; INV-F02 context</x:v>
      </x:c>
      <x:c r="O85" t="str"/>
      <x:c r="P85" t="str">
        <x:v>Engineer + Agent-assisted</x:v>
      </x:c>
      <x:c r="Q85" t="str"/>
      <x:c r="R85" t="str"/>
      <x:c r="S85" t="str">
        <x:v>First business story</x:v>
      </x:c>
    </x:row>
    <x:row r="86">
      <x:c r="A86" t="str">
        <x:v>INV-US002</x:v>
      </x:c>
      <x:c r="B86" t="str">
        <x:v>Story</x:v>
      </x:c>
      <x:c r="C86" t="str">
        <x:v>INV-F03</x:v>
      </x:c>
      <x:c r="D86" t="str">
        <x:v>Open controlled adjustment workflow</x:v>
      </x:c>
      <x:c r="E86" t="str">
        <x:v>Must</x:v>
      </x:c>
      <x:c r="F86" t="str">
        <x:v>Story-only</x:v>
      </x:c>
      <x:c r="G86" t="str">
        <x:v>Approved</x:v>
      </x:c>
      <x:c r="H86" t="str">
        <x:v>v1.0</x:v>
      </x:c>
      <x:c r="I86" t="str">
        <x:v>Not Started</x:v>
      </x:c>
      <x:c r="J86" t="str">
        <x:v>N/A</x:v>
      </x:c>
      <x:c r="K86" t="str">
        <x:v>Not Started</x:v>
      </x:c>
      <x:c r="L86" t="str">
        <x:v>Approved</x:v>
      </x:c>
      <x:c r="M86" t="str">
        <x:v>Not Met</x:v>
      </x:c>
      <x:c r="N86" t="str">
        <x:v>INV-US001</x:v>
      </x:c>
      <x:c r="O86" t="str"/>
      <x:c r="P86" t="str">
        <x:v>Engineer + Agent-assisted</x:v>
      </x:c>
      <x:c r="Q86" t="str"/>
      <x:c r="R86" t="str"/>
      <x:c r="S86" t="str">
        <x:v>Accessible dialog/drawer</x:v>
      </x:c>
    </x:row>
    <x:row r="87">
      <x:c r="A87" t="str">
        <x:v>INV-US003</x:v>
      </x:c>
      <x:c r="B87" t="str">
        <x:v>Story</x:v>
      </x:c>
      <x:c r="C87" t="str">
        <x:v>INV-F03</x:v>
      </x:c>
      <x:c r="D87" t="str">
        <x:v>Enter and validate an adjustment</x:v>
      </x:c>
      <x:c r="E87" t="str">
        <x:v>Must</x:v>
      </x:c>
      <x:c r="F87" t="str">
        <x:v>Story-only</x:v>
      </x:c>
      <x:c r="G87" t="str">
        <x:v>Approved</x:v>
      </x:c>
      <x:c r="H87" t="str">
        <x:v>v1.0</x:v>
      </x:c>
      <x:c r="I87" t="str">
        <x:v>Not Started</x:v>
      </x:c>
      <x:c r="J87" t="str">
        <x:v>N/A</x:v>
      </x:c>
      <x:c r="K87" t="str">
        <x:v>Not Started</x:v>
      </x:c>
      <x:c r="L87" t="str">
        <x:v>Approved</x:v>
      </x:c>
      <x:c r="M87" t="str">
        <x:v>Not Met</x:v>
      </x:c>
      <x:c r="N87" t="str">
        <x:v>INV-US002</x:v>
      </x:c>
      <x:c r="O87" t="str"/>
      <x:c r="P87" t="str">
        <x:v>Engineer + Agent-assisted</x:v>
      </x:c>
      <x:c r="Q87" t="str"/>
      <x:c r="R87" t="str"/>
      <x:c r="S87" t="str">
        <x:v>Client validation + preview</x:v>
      </x:c>
    </x:row>
    <x:row r="88">
      <x:c r="A88" t="str">
        <x:v>INV-US004</x:v>
      </x:c>
      <x:c r="B88" t="str">
        <x:v>Story</x:v>
      </x:c>
      <x:c r="C88" t="str">
        <x:v>INV-F03</x:v>
      </x:c>
      <x:c r="D88" t="str">
        <x:v>Submit a valid stock adjustment</x:v>
      </x:c>
      <x:c r="E88" t="str">
        <x:v>Must</x:v>
      </x:c>
      <x:c r="F88" t="str">
        <x:v>Story-only</x:v>
      </x:c>
      <x:c r="G88" t="str">
        <x:v>Approved</x:v>
      </x:c>
      <x:c r="H88" t="str">
        <x:v>v1.0</x:v>
      </x:c>
      <x:c r="I88" t="str">
        <x:v>Not Started</x:v>
      </x:c>
      <x:c r="J88" t="str">
        <x:v>N/A</x:v>
      </x:c>
      <x:c r="K88" t="str">
        <x:v>Not Started</x:v>
      </x:c>
      <x:c r="L88" t="str">
        <x:v>Approved</x:v>
      </x:c>
      <x:c r="M88" t="str">
        <x:v>Not Met</x:v>
      </x:c>
      <x:c r="N88" t="str">
        <x:v>INV-US003</x:v>
      </x:c>
      <x:c r="O88" t="str"/>
      <x:c r="P88" t="str">
        <x:v>Engineer + Agent-assisted</x:v>
      </x:c>
      <x:c r="Q88" t="str"/>
      <x:c r="R88" t="str"/>
      <x:c r="S88" t="str">
        <x:v>Transactional API mutation + audit</x:v>
      </x:c>
    </x:row>
    <x:row r="89">
      <x:c r="A89" t="str">
        <x:v>INV-US005</x:v>
      </x:c>
      <x:c r="B89" t="str">
        <x:v>Story</x:v>
      </x:c>
      <x:c r="C89" t="str">
        <x:v>INV-F03</x:v>
      </x:c>
      <x:c r="D89" t="str">
        <x:v>Refresh server state after success</x:v>
      </x:c>
      <x:c r="E89" t="str">
        <x:v>Must</x:v>
      </x:c>
      <x:c r="F89" t="str">
        <x:v>Story-only</x:v>
      </x:c>
      <x:c r="G89" t="str">
        <x:v>Approved</x:v>
      </x:c>
      <x:c r="H89" t="str">
        <x:v>v1.0</x:v>
      </x:c>
      <x:c r="I89" t="str">
        <x:v>Not Started</x:v>
      </x:c>
      <x:c r="J89" t="str">
        <x:v>N/A</x:v>
      </x:c>
      <x:c r="K89" t="str">
        <x:v>Not Started</x:v>
      </x:c>
      <x:c r="L89" t="str">
        <x:v>Approved</x:v>
      </x:c>
      <x:c r="M89" t="str">
        <x:v>Not Met</x:v>
      </x:c>
      <x:c r="N89" t="str">
        <x:v>INV-US004</x:v>
      </x:c>
      <x:c r="O89" t="str"/>
      <x:c r="P89" t="str">
        <x:v>Engineer + Agent-assisted</x:v>
      </x:c>
      <x:c r="Q89" t="str"/>
      <x:c r="R89" t="str"/>
      <x:c r="S89" t="str">
        <x:v>TanStack Query ownership</x:v>
      </x:c>
    </x:row>
    <x:row r="90">
      <x:c r="A90" t="str">
        <x:v>INV-US006</x:v>
      </x:c>
      <x:c r="B90" t="str">
        <x:v>Story</x:v>
      </x:c>
      <x:c r="C90" t="str">
        <x:v>INV-F03</x:v>
      </x:c>
      <x:c r="D90" t="str">
        <x:v>Handle validation, authorization and server failures</x:v>
      </x:c>
      <x:c r="E90" t="str">
        <x:v>Must</x:v>
      </x:c>
      <x:c r="F90" t="str">
        <x:v>Story-only</x:v>
      </x:c>
      <x:c r="G90" t="str">
        <x:v>Approved</x:v>
      </x:c>
      <x:c r="H90" t="str">
        <x:v>v1.0</x:v>
      </x:c>
      <x:c r="I90" t="str">
        <x:v>Not Started</x:v>
      </x:c>
      <x:c r="J90" t="str">
        <x:v>N/A</x:v>
      </x:c>
      <x:c r="K90" t="str">
        <x:v>Not Started</x:v>
      </x:c>
      <x:c r="L90" t="str">
        <x:v>Approved</x:v>
      </x:c>
      <x:c r="M90" t="str">
        <x:v>Not Met</x:v>
      </x:c>
      <x:c r="N90" t="str">
        <x:v>INV-US003; INV-US004</x:v>
      </x:c>
      <x:c r="O90" t="str"/>
      <x:c r="P90" t="str">
        <x:v>Engineer + Agent-assisted</x:v>
      </x:c>
      <x:c r="Q90" t="str"/>
      <x:c r="R90" t="str"/>
      <x:c r="S90" t="str">
        <x:v>400/403/404/409/422/5xx UX</x:v>
      </x:c>
    </x:row>
    <x:row r="91">
      <x:c r="A91" t="str">
        <x:v>INV-US007</x:v>
      </x:c>
      <x:c r="B91" t="str">
        <x:v>Story</x:v>
      </x:c>
      <x:c r="C91" t="str">
        <x:v>INV-F03</x:v>
      </x:c>
      <x:c r="D91" t="str">
        <x:v>Prevent duplicate adjustment submission</x:v>
      </x:c>
      <x:c r="E91" t="str">
        <x:v>Must</x:v>
      </x:c>
      <x:c r="F91" t="str">
        <x:v>Story-only</x:v>
      </x:c>
      <x:c r="G91" t="str">
        <x:v>Approved</x:v>
      </x:c>
      <x:c r="H91" t="str">
        <x:v>v1.0</x:v>
      </x:c>
      <x:c r="I91" t="str">
        <x:v>Not Started</x:v>
      </x:c>
      <x:c r="J91" t="str">
        <x:v>N/A</x:v>
      </x:c>
      <x:c r="K91" t="str">
        <x:v>Not Started</x:v>
      </x:c>
      <x:c r="L91" t="str">
        <x:v>Approved</x:v>
      </x:c>
      <x:c r="M91" t="str">
        <x:v>Not Met</x:v>
      </x:c>
      <x:c r="N91" t="str">
        <x:v>INV-US004</x:v>
      </x:c>
      <x:c r="O91" t="str"/>
      <x:c r="P91" t="str">
        <x:v>Engineer + Agent-assisted</x:v>
      </x:c>
      <x:c r="Q91" t="str"/>
      <x:c r="R91" t="str"/>
      <x:c r="S91" t="str">
        <x:v>Idempotency semantics</x:v>
      </x:c>
    </x:row>
    <x:row r="92">
      <x:c r="A92" t="str">
        <x:v>INV-US008</x:v>
      </x:c>
      <x:c r="B92" t="str">
        <x:v>Story</x:v>
      </x:c>
      <x:c r="C92" t="str">
        <x:v>INV-F03</x:v>
      </x:c>
      <x:c r="D92" t="str">
        <x:v>Reject stale inventory version safely</x:v>
      </x:c>
      <x:c r="E92" t="str">
        <x:v>Must</x:v>
      </x:c>
      <x:c r="F92" t="str">
        <x:v>Story-only</x:v>
      </x:c>
      <x:c r="G92" t="str">
        <x:v>Approved</x:v>
      </x:c>
      <x:c r="H92" t="str">
        <x:v>v1.0</x:v>
      </x:c>
      <x:c r="I92" t="str">
        <x:v>Not Started</x:v>
      </x:c>
      <x:c r="J92" t="str">
        <x:v>N/A</x:v>
      </x:c>
      <x:c r="K92" t="str">
        <x:v>Not Started</x:v>
      </x:c>
      <x:c r="L92" t="str">
        <x:v>Approved</x:v>
      </x:c>
      <x:c r="M92" t="str">
        <x:v>Not Met</x:v>
      </x:c>
      <x:c r="N92" t="str">
        <x:v>INV-US004</x:v>
      </x:c>
      <x:c r="O92" t="str">
        <x:v>ADR-009</x:v>
      </x:c>
      <x:c r="P92" t="str">
        <x:v>Engineer + Agent-assisted</x:v>
      </x:c>
      <x:c r="Q92" t="str"/>
      <x:c r="R92" t="str"/>
      <x:c r="S92" t="str">
        <x:v>409 baseline; enhanced UX in INV-F04</x:v>
      </x:c>
    </x:row>
    <x:row r="93">
      <x:c r="A93" t="str">
        <x:v>INV-US009</x:v>
      </x:c>
      <x:c r="B93" t="str">
        <x:v>Story</x:v>
      </x:c>
      <x:c r="C93" t="str">
        <x:v>INV-F03</x:v>
      </x:c>
      <x:c r="D93" t="str">
        <x:v>View created adjustment in history</x:v>
      </x:c>
      <x:c r="E93" t="str">
        <x:v>Must</x:v>
      </x:c>
      <x:c r="F93" t="str">
        <x:v>Story-only</x:v>
      </x:c>
      <x:c r="G93" t="str">
        <x:v>Approved</x:v>
      </x:c>
      <x:c r="H93" t="str">
        <x:v>v1.0</x:v>
      </x:c>
      <x:c r="I93" t="str">
        <x:v>Not Started</x:v>
      </x:c>
      <x:c r="J93" t="str">
        <x:v>N/A</x:v>
      </x:c>
      <x:c r="K93" t="str">
        <x:v>Not Started</x:v>
      </x:c>
      <x:c r="L93" t="str">
        <x:v>Approved</x:v>
      </x:c>
      <x:c r="M93" t="str">
        <x:v>Not Met</x:v>
      </x:c>
      <x:c r="N93" t="str">
        <x:v>INV-US004; INV-US005</x:v>
      </x:c>
      <x:c r="O93" t="str"/>
      <x:c r="P93" t="str">
        <x:v>Engineer + Agent-assisted</x:v>
      </x:c>
      <x:c r="Q93" t="str"/>
      <x:c r="R93" t="str"/>
      <x:c r="S93" t="str">
        <x:v>Minimal history; matures in INV-F06</x:v>
      </x:c>
    </x:row>
  </x:sheetData>
  <x:conditionalFormatting sqref="G2:G76">
    <x:cfRule type="expression" dxfId="0" priority="1">
      <x:formula>G2="Approved"</x:formula>
    </x:cfRule>
    <x:cfRule type="expression" dxfId="1" priority="2">
      <x:formula>G2="Review"</x:formula>
    </x:cfRule>
  </x:conditionalFormatting>
  <x:conditionalFormatting sqref="I2:I76">
    <x:cfRule type="expression" dxfId="2" priority="3">
      <x:formula>I2="In Progress"</x:formula>
    </x:cfRule>
    <x:cfRule type="expression" dxfId="3" priority="4">
      <x:formula>I2="Done"</x:formula>
    </x:cfRule>
    <x:cfRule type="expression" dxfId="4" priority="5">
      <x:formula>I2="Blocked"</x:formula>
    </x:cfRule>
  </x:conditionalFormatting>
  <x:conditionalFormatting sqref="M2:M76">
    <x:cfRule type="expression" dxfId="5" priority="6">
      <x:formula>M2="Met"</x:formula>
    </x:cfRule>
  </x:conditionalFormatting>
  <x:conditionalFormatting sqref="G77:G93">
    <x:cfRule type="expression" dxfId="8" priority="7">
      <x:formula>G77="Approved"</x:formula>
    </x:cfRule>
  </x:conditionalFormatting>
  <x:conditionalFormatting sqref="I77:I93">
    <x:cfRule type="expression" dxfId="9" priority="8">
      <x:formula>I77="In Progress"</x:formula>
    </x:cfRule>
    <x:cfRule type="expression" dxfId="10" priority="9">
      <x:formula>I77="Done"</x:formula>
    </x:cfRule>
    <x:cfRule type="expression" dxfId="11" priority="10">
      <x:formula>I77="Blocked"</x:formula>
    </x:cfRule>
  </x:conditionalFormatting>
  <x:conditionalFormatting sqref="M77:M93">
    <x:cfRule type="expression" dxfId="12" priority="11">
      <x:formula>M77="Met"</x:formula>
    </x:cfRule>
  </x:conditionalFormatting>
  <x:dataValidations count="16">
    <x:dataValidation type="list" sqref="E2:E76">
      <x:formula1>"Must,Should,Could"</x:formula1>
    </x:dataValidation>
    <x:dataValidation type="list" sqref="F2:F76">
      <x:formula1>"Full,Lean,Story-only,N/A"</x:formula1>
    </x:dataValidation>
    <x:dataValidation type="list" sqref="G2:G76">
      <x:formula1>"Backlog,Drafting,Review,Approved"</x:formula1>
    </x:dataValidation>
    <x:dataValidation type="list" sqref="I2:I76">
      <x:formula1>"Not Started,Planned,In Progress,Done,Blocked,Deferred"</x:formula1>
    </x:dataValidation>
    <x:dataValidation type="list" sqref="J2:J76">
      <x:formula1>"N/A,Not Started,Draft,Approved"</x:formula1>
    </x:dataValidation>
    <x:dataValidation type="list" sqref="K2:K76">
      <x:formula1>"Not Started,Partial,Passed,Failed"</x:formula1>
    </x:dataValidation>
    <x:dataValidation type="list" sqref="L2:L76">
      <x:formula1>"Pending,Changes Required,Approved"</x:formula1>
    </x:dataValidation>
    <x:dataValidation type="list" sqref="M2:M76">
      <x:formula1>"Not Met,Met"</x:formula1>
    </x:dataValidation>
    <x:dataValidation type="list" sqref="E77:E93">
      <x:formula1>"Must,Should,Could"</x:formula1>
    </x:dataValidation>
    <x:dataValidation type="list" sqref="F77:F93">
      <x:formula1>"Full,Lean,Story-only,N/A"</x:formula1>
    </x:dataValidation>
    <x:dataValidation type="list" sqref="G77:G93">
      <x:formula1>"Backlog,Drafting,Review,Approved"</x:formula1>
    </x:dataValidation>
    <x:dataValidation type="list" sqref="I77:I93">
      <x:formula1>"Not Started,Planned,In Progress,Done,Blocked,Deferred"</x:formula1>
    </x:dataValidation>
    <x:dataValidation type="list" sqref="J77:J93">
      <x:formula1>"N/A,Not Started,Draft,Approved"</x:formula1>
    </x:dataValidation>
    <x:dataValidation type="list" sqref="K77:K93">
      <x:formula1>"Not Started,Partial,Passed,Failed"</x:formula1>
    </x:dataValidation>
    <x:dataValidation type="list" sqref="L77:L93">
      <x:formula1>"Pending,Changes Required,Approved"</x:formula1>
    </x:dataValidation>
    <x:dataValidation type="list" sqref="M77:M93">
      <x:formula1>"Not Met,Met"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2b027c48d54f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16" hidden="0" customWidth="1"/>
    <x:col min="4" max="4" width="22" hidden="0" customWidth="1"/>
    <x:col min="5" max="5" width="18" hidden="0" customWidth="1"/>
    <x:col min="6" max="6" width="28" hidden="0" customWidth="1"/>
    <x:col min="7" max="7" width="42" hidden="0" customWidth="1"/>
  </x:cols>
  <x:sheetData>
    <x:row r="1">
      <x:c r="A1" s="6" t="str">
        <x:v>ADR</x:v>
      </x:c>
      <x:c r="B1" s="6" t="str">
        <x:v>Decision</x:v>
      </x:c>
      <x:c r="C1" s="6" t="str">
        <x:v>Status</x:v>
      </x:c>
      <x:c r="D1" s="6" t="str">
        <x:v>Area</x:v>
      </x:c>
      <x:c r="E1" s="6" t="str">
        <x:v>Owner</x:v>
      </x:c>
      <x:c r="F1" s="6" t="str">
        <x:v>Affected Items</x:v>
      </x:c>
      <x:c r="G1" s="6" t="str">
        <x:v>Notes</x:v>
      </x:c>
    </x:row>
    <x:row r="2">
      <x:c r="A2" t="str">
        <x:v>ADR-001</x:v>
      </x:c>
      <x:c r="B2" t="str">
        <x:v>Separate NestJS domain API from Next.js web application</x:v>
      </x:c>
      <x:c r="C2" t="str">
        <x:v>Accepted</x:v>
      </x:c>
      <x:c r="D2" t="str">
        <x:v>System Architecture</x:v>
      </x:c>
      <x:c r="E2" t="str">
        <x:v>Engineer</x:v>
      </x:c>
      <x:c r="F2" t="str">
        <x:v>FND-004; all Epics</x:v>
      </x:c>
      <x:c r="G2" t="str"/>
    </x:row>
    <x:row r="3">
      <x:c r="A3" t="str">
        <x:v>ADR-002</x:v>
      </x:c>
      <x:c r="B3" t="str">
        <x:v>TanStack Query owns remote/server state</x:v>
      </x:c>
      <x:c r="C3" t="str">
        <x:v>Accepted</x:v>
      </x:c>
      <x:c r="D3" t="str">
        <x:v>Frontend / State</x:v>
      </x:c>
      <x:c r="E3" t="str">
        <x:v>Engineer</x:v>
      </x:c>
      <x:c r="F3" t="str">
        <x:v>FND-005; FND-009</x:v>
      </x:c>
      <x:c r="G3" t="str"/>
    </x:row>
    <x:row r="4">
      <x:c r="A4" t="str">
        <x:v>ADR-003</x:v>
      </x:c>
      <x:c r="B4" t="str">
        <x:v>Redux Toolkit restricted to explicit client-only cross-feature state; no RTK Query</x:v>
      </x:c>
      <x:c r="C4" t="str">
        <x:v>Accepted</x:v>
      </x:c>
      <x:c r="D4" t="str">
        <x:v>Frontend / State</x:v>
      </x:c>
      <x:c r="E4" t="str">
        <x:v>Engineer</x:v>
      </x:c>
      <x:c r="F4" t="str">
        <x:v>FND-009</x:v>
      </x:c>
      <x:c r="G4" t="str"/>
    </x:row>
    <x:row r="5">
      <x:c r="A5" t="str">
        <x:v>ADR-004</x:v>
      </x:c>
      <x:c r="B5" t="str">
        <x:v>TypeScript 7 primary compiler; TS6 compatibility only for tooling that requires legacy compiler API</x:v>
      </x:c>
      <x:c r="C5" t="str">
        <x:v>Accepted</x:v>
      </x:c>
      <x:c r="D5" t="str">
        <x:v>Tooling</x:v>
      </x:c>
      <x:c r="E5" t="str">
        <x:v>Engineer</x:v>
      </x:c>
      <x:c r="F5" t="str">
        <x:v>FND-003; FND-017</x:v>
      </x:c>
      <x:c r="G5" t="str">
        <x:v>Review when TS 7.1/tooling ecosystem removes compatibility need</x:v>
      </x:c>
    </x:row>
    <x:row r="6">
      <x:c r="A6" t="str">
        <x:v>ADR-005</x:v>
      </x:c>
      <x:c r="B6" t="str">
        <x:v>Storybook scoped to packages/ui and reusable complex patterns</x:v>
      </x:c>
      <x:c r="C6" t="str">
        <x:v>Accepted</x:v>
      </x:c>
      <x:c r="D6" t="str">
        <x:v>UI Engineering</x:v>
      </x:c>
      <x:c r="E6" t="str">
        <x:v>Engineer</x:v>
      </x:c>
      <x:c r="F6" t="str">
        <x:v>FND-010</x:v>
      </x:c>
      <x:c r="G6" t="str"/>
    </x:row>
    <x:row r="7">
      <x:c r="A7" t="str">
        <x:v>ADR-006</x:v>
      </x:c>
      <x:c r="B7" t="str">
        <x:v>Two-speed Full vs Lean Feature specification model</x:v>
      </x:c>
      <x:c r="C7" t="str">
        <x:v>Accepted</x:v>
      </x:c>
      <x:c r="D7" t="str">
        <x:v>Delivery Process</x:v>
      </x:c>
      <x:c r="E7" t="str">
        <x:v>Engineer</x:v>
      </x:c>
      <x:c r="F7" t="str">
        <x:v>FND-022; all Features</x:v>
      </x:c>
      <x:c r="G7" t="str"/>
    </x:row>
    <x:row r="8">
      <x:c r="A8" t="str">
        <x:v>ADR-007</x:v>
      </x:c>
      <x:c r="B8" t="str">
        <x:v>Sentry + structured logs + Web Vitals as lean observability baseline</x:v>
      </x:c>
      <x:c r="C8" t="str">
        <x:v>Accepted</x:v>
      </x:c>
      <x:c r="D8" t="str">
        <x:v>Observability</x:v>
      </x:c>
      <x:c r="E8" t="str">
        <x:v>Engineer</x:v>
      </x:c>
      <x:c r="F8" t="str">
        <x:v>FND-014; FND-015</x:v>
      </x:c>
      <x:c r="G8" t="str"/>
    </x:row>
    <x:row r="9">
      <x:c r="A9" t="str">
        <x:v>ADR-008</x:v>
      </x:c>
      <x:c r="B9" t="str">
        <x:v>PostgreSQL + Prisma relational persistence; no microservices/event platform in v1</x:v>
      </x:c>
      <x:c r="C9" t="str">
        <x:v>Accepted</x:v>
      </x:c>
      <x:c r="D9" t="str">
        <x:v>Backend / Data</x:v>
      </x:c>
      <x:c r="E9" t="str">
        <x:v>Engineer</x:v>
      </x:c>
      <x:c r="F9" t="str">
        <x:v>FND-006; FND-007</x:v>
      </x:c>
      <x:c r="G9" t="str"/>
    </x:row>
    <x:row r="10">
      <x:c r="A10" t="str">
        <x:v>ADR-009</x:v>
      </x:c>
      <x:c r="B10" t="str">
        <x:v>Inventory mutations use integer expectedVersion optimistic concurrency; stale versions return 409 and do not mutate</x:v>
      </x:c>
      <x:c r="C10" t="str">
        <x:v>Accepted</x:v>
      </x:c>
      <x:c r="D10" t="str">
        <x:v>Inventory</x:v>
      </x:c>
      <x:c r="E10" t="str">
        <x:v>Engineer</x:v>
      </x:c>
      <x:c r="F10" t="str">
        <x:v>INV-F03; INV-F04; INV-US008</x:v>
      </x:c>
      <x:c r="G10" t="str">
        <x:v>Baseline integrity rule approved in Inventory Development Spec v1.0; INV-F04 refines conflict UX.</x:v>
      </x:c>
    </x:row>
  </x:sheetData>
  <x:conditionalFormatting sqref="C2:C10">
    <x:cfRule type="expression" dxfId="6" priority="1">
      <x:formula>C2="Accepted"</x:formula>
    </x:cfRule>
    <x:cfRule type="expression" dxfId="7" priority="2">
      <x:formula>C2="Proposed"</x:formula>
    </x:cfRule>
  </x:conditionalFormatting>
  <x:dataValidations count="1">
    <x:dataValidation type="list" sqref="C2:C10">
      <x:formula1>"Proposed,Accepted,Superseded,Rejected"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063aaf49ed44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70" hidden="0" customWidth="1"/>
  </x:cols>
  <x:sheetData>
    <x:row r="1">
      <x:c r="A1" s="6" t="str">
        <x:v>Category</x:v>
      </x:c>
      <x:c r="B1" s="6" t="str">
        <x:v>Value</x:v>
      </x:c>
      <x:c r="C1" s="6" t="str">
        <x:v>Definition</x:v>
      </x:c>
    </x:row>
    <x:row r="2">
      <x:c r="A2" t="str">
        <x:v>Lifecycle</x:v>
      </x:c>
      <x:c r="B2" t="str">
        <x:v>Backlog</x:v>
      </x:c>
      <x:c r="C2" t="str">
        <x:v>Item identified; detailed spec not started</x:v>
      </x:c>
    </x:row>
    <x:row r="3">
      <x:c r="A3" t="str">
        <x:v>Lifecycle</x:v>
      </x:c>
      <x:c r="B3" t="str">
        <x:v>Drafting</x:v>
      </x:c>
      <x:c r="C3" t="str">
        <x:v>Specification being authored</x:v>
      </x:c>
    </x:row>
    <x:row r="4">
      <x:c r="A4" t="str">
        <x:v>Lifecycle</x:v>
      </x:c>
      <x:c r="B4" t="str">
        <x:v>Review</x:v>
      </x:c>
      <x:c r="C4" t="str">
        <x:v>Specification ready for engineering review</x:v>
      </x:c>
    </x:row>
    <x:row r="5">
      <x:c r="A5" t="str">
        <x:v>Lifecycle</x:v>
      </x:c>
      <x:c r="B5" t="str">
        <x:v>Approved</x:v>
      </x:c>
      <x:c r="C5" t="str">
        <x:v>Specification is authoritative for implementation</x:v>
      </x:c>
    </x:row>
    <x:row r="6">
      <x:c r="A6" t="str">
        <x:v>Implementation</x:v>
      </x:c>
      <x:c r="B6" t="str">
        <x:v>Not Started</x:v>
      </x:c>
      <x:c r="C6" t="str">
        <x:v>No implementation work started</x:v>
      </x:c>
    </x:row>
    <x:row r="7">
      <x:c r="A7" t="str">
        <x:v>Implementation</x:v>
      </x:c>
      <x:c r="B7" t="str">
        <x:v>Planned</x:v>
      </x:c>
      <x:c r="C7" t="str">
        <x:v>Implementation plan / prerequisites prepared</x:v>
      </x:c>
    </x:row>
    <x:row r="8">
      <x:c r="A8" t="str">
        <x:v>Implementation</x:v>
      </x:c>
      <x:c r="B8" t="str">
        <x:v>In Progress</x:v>
      </x:c>
      <x:c r="C8" t="str">
        <x:v>Implementation actively underway</x:v>
      </x:c>
    </x:row>
    <x:row r="9">
      <x:c r="A9" t="str">
        <x:v>Implementation</x:v>
      </x:c>
      <x:c r="B9" t="str">
        <x:v>Done</x:v>
      </x:c>
      <x:c r="C9" t="str">
        <x:v>Implementation complete; DoD may still be checked separately</x:v>
      </x:c>
    </x:row>
    <x:row r="10">
      <x:c r="A10" t="str">
        <x:v>Implementation</x:v>
      </x:c>
      <x:c r="B10" t="str">
        <x:v>Blocked</x:v>
      </x:c>
      <x:c r="C10" t="str">
        <x:v>Cannot progress due to a documented blocker</x:v>
      </x:c>
    </x:row>
    <x:row r="11">
      <x:c r="A11" t="str">
        <x:v>Implementation</x:v>
      </x:c>
      <x:c r="B11" t="str">
        <x:v>Deferred</x:v>
      </x:c>
      <x:c r="C11" t="str">
        <x:v>Intentionally moved out of current delivery window</x:v>
      </x:c>
    </x:row>
    <x:row r="12">
      <x:c r="A12" t="str">
        <x:v>Priority</x:v>
      </x:c>
      <x:c r="B12" t="str">
        <x:v>Must</x:v>
      </x:c>
      <x:c r="C12" t="str">
        <x:v>Required for v1 or the learning baseline</x:v>
      </x:c>
    </x:row>
    <x:row r="13">
      <x:c r="A13" t="str">
        <x:v>Priority</x:v>
      </x:c>
      <x:c r="B13" t="str">
        <x:v>Should</x:v>
      </x:c>
      <x:c r="C13" t="str">
        <x:v>High value but can follow core v1 capability</x:v>
      </x:c>
    </x:row>
    <x:row r="14">
      <x:c r="A14" t="str">
        <x:v>Priority</x:v>
      </x:c>
      <x:c r="B14" t="str">
        <x:v>Could</x:v>
      </x:c>
      <x:c r="C14" t="str">
        <x:v>Optional/stretch capability</x:v>
      </x:c>
    </x:row>
    <x:row r="15">
      <x:c r="A15" t="str">
        <x:v>Spec Weight</x:v>
      </x:c>
      <x:c r="B15" t="str">
        <x:v>Full</x:v>
      </x:c>
      <x:c r="C15" t="str">
        <x:v>Complex/high-risk feature; use full Feature Spec and Agent Plan where useful</x:v>
      </x:c>
    </x:row>
    <x:row r="16">
      <x:c r="A16" t="str">
        <x:v>Spec Weight</x:v>
      </x:c>
      <x:c r="B16" t="str">
        <x:v>Lean</x:v>
      </x:c>
      <x:c r="C16" t="str">
        <x:v>Straightforward/low-risk feature; one-page Feature Spec</x:v>
      </x:c>
    </x:row>
    <x:row r="17">
      <x:c r="A17" t="str">
        <x:v>Spec Weight</x:v>
      </x:c>
      <x:c r="B17" t="str">
        <x:v>Story-only</x:v>
      </x:c>
      <x:c r="C17" t="str">
        <x:v>User Story sufficient under an already explicit Feature 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18cabb3748324a25"/>
  </x:tableParts>
</x:worksheet>
</file>